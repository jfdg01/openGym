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ogram" sheetId="2" state="visible" r:id="rId4"/>
    <sheet name="Plan" sheetId="3" state="visible" r:id="rId5"/>
    <sheet name="Main lifts" sheetId="4" state="visible" r:id="rId6"/>
    <sheet name="Accessory log" sheetId="5" state="visible" r:id="rId7"/>
    <sheet name="Readiness" sheetId="6" state="visible" r:id="rId8"/>
    <sheet name="Tests" sheetId="7" state="visible" r:id="rId9"/>
    <sheet name="Entry ramps" sheetId="8" state="visible" r:id="rId10"/>
    <sheet name="Coverage" sheetId="9" state="visible" r:id="rId11"/>
    <sheet name="Ki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<sst xmlns="http://schemas.openxmlformats.org/spreadsheetml/2006/main" count="1487" uniqueCount="726">
  <si>
    <t xml:space="preserve">Full-body strength tracker – 6 days</t>
  </si>
  <si>
    <t xml:space="preserve">Performance across every movement pattern. Yellow cells with blue text are the only ones you type in (plus the log sheets).</t>
  </si>
  <si>
    <t xml:space="preserve">Program start date (a Monday)</t>
  </si>
  <si>
    <t xml:space="preserve">Change to your real first Monday.</t>
  </si>
  <si>
    <t xml:space="preserve">Week override (optional)</t>
  </si>
  <si>
    <t xml:space="preserve">Type a week number if you fall behind; leave blank to follow the calendar.</t>
  </si>
  <si>
    <t xml:space="preserve">THIS WEEK</t>
  </si>
  <si>
    <t xml:space="preserve">Week #</t>
  </si>
  <si>
    <t xml:space="preserve">Phase</t>
  </si>
  <si>
    <t xml:space="preserve">Block week</t>
  </si>
  <si>
    <t xml:space="preserve">Saturday session</t>
  </si>
  <si>
    <t xml:space="preserve">Main lifts: top set</t>
  </si>
  <si>
    <t xml:space="preserve">Volume %</t>
  </si>
  <si>
    <t xml:space="preserve">Accessory RPE cap</t>
  </si>
  <si>
    <t xml:space="preserve">Back-off sets</t>
  </si>
  <si>
    <t xml:space="preserve">Note</t>
  </si>
  <si>
    <t xml:space="preserve">Elbow variants</t>
  </si>
  <si>
    <t xml:space="preserve">WEEK AT A GLANCE</t>
  </si>
  <si>
    <t xml:space="preserve">Day</t>
  </si>
  <si>
    <t xml:space="preserve">Focus</t>
  </si>
  <si>
    <t xml:space="preserve">Base sets</t>
  </si>
  <si>
    <t xml:space="preserve">Sets this week</t>
  </si>
  <si>
    <t xml:space="preserve">Kung fu that night?</t>
  </si>
  <si>
    <t xml:space="preserve">Key rule</t>
  </si>
  <si>
    <t xml:space="preserve">Mon</t>
  </si>
  <si>
    <t xml:space="preserve">Squat + anterior trunk</t>
  </si>
  <si>
    <t xml:space="preserve">Yes</t>
  </si>
  <si>
    <t xml:space="preserve">Squat top set capped at RPE 8.</t>
  </si>
  <si>
    <t xml:space="preserve">Tue</t>
  </si>
  <si>
    <t xml:space="preserve">Horizontal push / pull + heavy carry</t>
  </si>
  <si>
    <t xml:space="preserve">Wed</t>
  </si>
  <si>
    <t xml:space="preserve">Single-leg, frontal plane, trunk, neck</t>
  </si>
  <si>
    <t xml:space="preserve">Keep everything RPE ≤7.</t>
  </si>
  <si>
    <t xml:space="preserve">Thu</t>
  </si>
  <si>
    <t xml:space="preserve">Vertical push / pull + shoulders</t>
  </si>
  <si>
    <t xml:space="preserve">Fri</t>
  </si>
  <si>
    <t xml:space="preserve">Hinge + knees + calves</t>
  </si>
  <si>
    <t xml:space="preserve">No</t>
  </si>
  <si>
    <t xml:space="preserve">Heaviest day: no class tonight.</t>
  </si>
  <si>
    <t xml:space="preserve">Sat A</t>
  </si>
  <si>
    <t xml:space="preserve">Front squat + hips, elbows, wrist</t>
  </si>
  <si>
    <t xml:space="preserve">Odd weeks.</t>
  </si>
  <si>
    <t xml:space="preserve">Sat B</t>
  </si>
  <si>
    <t xml:space="preserve">Front squat + spine, scapula, grip</t>
  </si>
  <si>
    <t xml:space="preserve">Even weeks.</t>
  </si>
  <si>
    <t xml:space="preserve">Home</t>
  </si>
  <si>
    <t xml:space="preserve">Neck rotation, hands, feet (≈10 min)</t>
  </si>
  <si>
    <t xml:space="preserve">–</t>
  </si>
  <si>
    <t xml:space="preserve">Twice a week, e.g. Tue + Sun.</t>
  </si>
  <si>
    <t xml:space="preserve">Gym sets per week (Mon–Fri + one Saturday)</t>
  </si>
  <si>
    <t xml:space="preserve">Expect roughly 60–75 min per gym session at full volume. Sunday is off (home routine is fine).</t>
  </si>
  <si>
    <t xml:space="preserve">HOW TO USE IT</t>
  </si>
  <si>
    <t xml:space="preserve">1. Set the start date above. 'This week' then tells you the phase, Saturday type, main-lift target and volume.</t>
  </si>
  <si>
    <t xml:space="preserve">2. Train from Program. 'Sets this week' already scales for the ramp and deloads.</t>
  </si>
  <si>
    <t xml:space="preserve">3. Main lifts: check 'Next session' at the top of Main lifts, then log the top set (kg, reps, RPE). It works out e1RM and flags drops.</t>
  </si>
  <si>
    <t xml:space="preserve">4. Everything else: log in Accessory log. It tells you when to add load, and how many reps you need before a big weight jump.</t>
  </si>
  <si>
    <t xml:space="preserve">5. Before each session, score readiness in Readiness (10 seconds). It tells you whether to train as planned or cut back.</t>
  </si>
  <si>
    <t xml:space="preserve">6. Weeks 1 and 11 of each block: run the Tests sheet for the small joints.</t>
  </si>
  <si>
    <t xml:space="preserve">7. New risky exercises (neck, dips, reverse Nordic, Copenhagen, hip rotation) follow Entry ramps for the first 6 weeks.</t>
  </si>
  <si>
    <t xml:space="preserve">RULES</t>
  </si>
  <si>
    <t xml:space="preserve">Main lifts</t>
  </si>
  <si>
    <t xml:space="preserve">Top set at the Plan's reps and RPE, then back-off sets at the Plan's % below it. Top set ≥1 RPE above target: cut back-offs 5%. ≥1 below: add 2.5 kg (upper) or 5 kg (lower) to back-offs.</t>
  </si>
  <si>
    <t xml:space="preserve">e1RM</t>
  </si>
  <si>
    <t xml:space="preserve">e1RM = load × (1 + (reps + reps-in-reserve) / 30), where reps-in-reserve = 10 − RPE. Valid up to about 10 total. A true single at RPE 10 is just the load.</t>
  </si>
  <si>
    <t xml:space="preserve">Accessories</t>
  </si>
  <si>
    <t xml:space="preserve">Double progression: when every set reaches the top of the range at RIR ≤2, add the smallest step. Below the bottom of the range twice: drop 5–10%.</t>
  </si>
  <si>
    <t xml:space="preserve">Big jumps</t>
  </si>
  <si>
    <t xml:space="preserve">When the next weight is &gt;10% heavier (e.g. 7.5 → 10 kg), stay until you can do the reps the Accessory log shows, or use fractional plates.</t>
  </si>
  <si>
    <t xml:space="preserve">Stalls</t>
  </si>
  <si>
    <t xml:space="preserve">No rep or load PR in 3 sessions on an exercise: drop 10% and rebuild, or switch variant.</t>
  </si>
  <si>
    <t xml:space="preserve">Deload</t>
  </si>
  <si>
    <t xml:space="preserve">Default: Plan weeks 6 and 12 of each block. Early deload if a main lift shows 'Below trend' twice in a row, or Readiness flags it. Deload = about half the sets, ~90% loads, RPE ≤6.</t>
  </si>
  <si>
    <t xml:space="preserve">Kung fu</t>
  </si>
  <si>
    <t xml:space="preserve">2+ class nights in a week where kicking or teaching felt flat: cut lower-body accessory sets 25% the next week. Never trade away classes.</t>
  </si>
  <si>
    <t xml:space="preserve">Cut first</t>
  </si>
  <si>
    <t xml:space="preserve">1) Saturday extras to maintenance, 2) leg isolation on Mon/Fri, 3) the last set of every accessory, 4) main lifts down to top set + 1 back-off.</t>
  </si>
  <si>
    <t xml:space="preserve">Joint pain</t>
  </si>
  <si>
    <t xml:space="preserve">3+/10 on a joint: swap that exercise. 5+/10: drop that pattern for the week.</t>
  </si>
  <si>
    <t xml:space="preserve">Priorities</t>
  </si>
  <si>
    <t xml:space="preserve">Each block, mark 4–5 small movements as priority in Program (+2 sets/week). Everything else sits at maintenance.</t>
  </si>
  <si>
    <t xml:space="preserve">Week</t>
  </si>
  <si>
    <t xml:space="preserve">#</t>
  </si>
  <si>
    <t xml:space="preserve">Exercise</t>
  </si>
  <si>
    <t xml:space="preserve">What it covers</t>
  </si>
  <si>
    <t xml:space="preserve">Reps / time</t>
  </si>
  <si>
    <t xml:space="preserve">Range low</t>
  </si>
  <si>
    <t xml:space="preserve">Range high</t>
  </si>
  <si>
    <t xml:space="preserve">Effort</t>
  </si>
  <si>
    <t xml:space="preserve">Progression</t>
  </si>
  <si>
    <t xml:space="preserve">Priority this block? (Y)</t>
  </si>
  <si>
    <t xml:space="preserve">Sets this block</t>
  </si>
  <si>
    <t xml:space="preserve">Notes</t>
  </si>
  <si>
    <t xml:space="preserve">All</t>
  </si>
  <si>
    <t xml:space="preserve">Back squat</t>
  </si>
  <si>
    <t xml:space="preserve">Squat; knee extension; hip extension</t>
  </si>
  <si>
    <t xml:space="preserve">Wave (see Plan)</t>
  </si>
  <si>
    <t xml:space="preserve">Wave RPE; cap 8 on class nights</t>
  </si>
  <si>
    <t xml:space="preserve">Main lift</t>
  </si>
  <si>
    <t xml:space="preserve">Top set, then 3 back-off sets at the Plan's % off. Use the Main lifts calculator.</t>
  </si>
  <si>
    <t xml:space="preserve">Seated leg curl</t>
  </si>
  <si>
    <t xml:space="preserve">Knee flexion, hip flexed</t>
  </si>
  <si>
    <t xml:space="preserve">8–12</t>
  </si>
  <si>
    <t xml:space="preserve">RIR 1–2</t>
  </si>
  <si>
    <t xml:space="preserve">Double progression</t>
  </si>
  <si>
    <t xml:space="preserve">Seated calf raise</t>
  </si>
  <si>
    <t xml:space="preserve">Plantar flexion, knee bent (soleus)</t>
  </si>
  <si>
    <t xml:space="preserve">12–15</t>
  </si>
  <si>
    <t xml:space="preserve">Pause 1 s at the bottom.</t>
  </si>
  <si>
    <t xml:space="preserve">Cable dorsiflexion</t>
  </si>
  <si>
    <t xml:space="preserve">Ankle dorsiflexion (tibialis)</t>
  </si>
  <si>
    <t xml:space="preserve">12–20</t>
  </si>
  <si>
    <t xml:space="preserve">RIR 2</t>
  </si>
  <si>
    <t xml:space="preserve">Ankle strap on a low pulley. No strap: dumbbell between the feet, seated on a bench edge.</t>
  </si>
  <si>
    <t xml:space="preserve">Hanging leg raise (pelvis curls up)</t>
  </si>
  <si>
    <t xml:space="preserve">Hip flexion knee straight; posterior pelvic tilt; spinal flexion</t>
  </si>
  <si>
    <t xml:space="preserve">6–12</t>
  </si>
  <si>
    <t xml:space="preserve">Only counts for pelvic tilt if the pelvis curls up at the top. Add a dumbbell between the feet once 12 is easy.</t>
  </si>
  <si>
    <t xml:space="preserve">Ab rollout (from knees)</t>
  </si>
  <si>
    <t xml:space="preserve">Anti-extension</t>
  </si>
  <si>
    <t xml:space="preserve">6–10</t>
  </si>
  <si>
    <t xml:space="preserve">Double progression (range, then standing)</t>
  </si>
  <si>
    <t xml:space="preserve">Partial range weeks 1–4.</t>
  </si>
  <si>
    <t xml:space="preserve">Cable crunch</t>
  </si>
  <si>
    <t xml:space="preserve">Spinal flexion</t>
  </si>
  <si>
    <t xml:space="preserve">10–15</t>
  </si>
  <si>
    <t xml:space="preserve">Bench press</t>
  </si>
  <si>
    <t xml:space="preserve">Horizontal push; horizontal adduction; elbow extension</t>
  </si>
  <si>
    <t xml:space="preserve">Wave RPE</t>
  </si>
  <si>
    <t xml:space="preserve">Top set + 3 back-off sets.</t>
  </si>
  <si>
    <t xml:space="preserve">Chest-supported row</t>
  </si>
  <si>
    <t xml:space="preserve">Horizontal pull; scapular retraction</t>
  </si>
  <si>
    <t xml:space="preserve">6–8</t>
  </si>
  <si>
    <t xml:space="preserve">Straps allowed, to spare grip.</t>
  </si>
  <si>
    <t xml:space="preserve">Seated DB overhead press</t>
  </si>
  <si>
    <t xml:space="preserve">Vertical push (2nd exposure); shoulder flexion</t>
  </si>
  <si>
    <t xml:space="preserve">Dip</t>
  </si>
  <si>
    <t xml:space="preserve">Decline push; scapular downward rotation</t>
  </si>
  <si>
    <t xml:space="preserve">Double progression (then add kg)</t>
  </si>
  <si>
    <t xml:space="preserve">Bodyweight weeks 1–4; stop when the upper arm is parallel to the floor. See Entry ramps.</t>
  </si>
  <si>
    <t xml:space="preserve">Reverse fly (cable or rear-delt machine)</t>
  </si>
  <si>
    <t xml:space="preserve">Shoulder horizontal abduction; scapular retraction</t>
  </si>
  <si>
    <t xml:space="preserve">Elbow flexion – Tue slot</t>
  </si>
  <si>
    <t xml:space="preserve">Odd blocks: EZ curl (supinated). Even blocks: preacher curl (arm in front)</t>
  </si>
  <si>
    <t xml:space="preserve">Block = 12-week block in Plan. The ramp counts as odd.</t>
  </si>
  <si>
    <t xml:space="preserve">Elbow extension – Tue slot</t>
  </si>
  <si>
    <t xml:space="preserve">Odd blocks: skull crusher (arm in front). Even blocks: overhead cable extension</t>
  </si>
  <si>
    <t xml:space="preserve">Superset with the curl slot.</t>
  </si>
  <si>
    <t xml:space="preserve">Farmer carry (heavy)</t>
  </si>
  <si>
    <t xml:space="preserve">Two-hand carry; support grip; anti-flexion</t>
  </si>
  <si>
    <t xml:space="preserve">20–30 m</t>
  </si>
  <si>
    <t xml:space="preserve">Hard but clean posture</t>
  </si>
  <si>
    <t xml:space="preserve">Carry: hit 30 m, then add load</t>
  </si>
  <si>
    <t xml:space="preserve">Out-and-back 10–15 m if there's no lane. Kept off Friday to separate grip days.</t>
  </si>
  <si>
    <t xml:space="preserve">Bulgarian split squat</t>
  </si>
  <si>
    <t xml:space="preserve">Lunge / split squat; single leg</t>
  </si>
  <si>
    <t xml:space="preserve">6–8 / side</t>
  </si>
  <si>
    <t xml:space="preserve">RPE ≤7 (class night)</t>
  </si>
  <si>
    <t xml:space="preserve">Wednesday stays easy: leaves something for kicking that night.</t>
  </si>
  <si>
    <t xml:space="preserve">Single-leg RDL</t>
  </si>
  <si>
    <t xml:space="preserve">Single-leg hinge</t>
  </si>
  <si>
    <t xml:space="preserve">6–10 / side</t>
  </si>
  <si>
    <t xml:space="preserve">RPE ≤7</t>
  </si>
  <si>
    <t xml:space="preserve">Cossack squat</t>
  </si>
  <si>
    <t xml:space="preserve">Lateral lunge (frontal plane); hip adduction</t>
  </si>
  <si>
    <t xml:space="preserve">Bodyweight weeks 1–4, then goblet.</t>
  </si>
  <si>
    <t xml:space="preserve">Copenhagen plank</t>
  </si>
  <si>
    <t xml:space="preserve">Hip adduction, hip extended; anti-lateral flexion</t>
  </si>
  <si>
    <t xml:space="preserve">15–45 s / side</t>
  </si>
  <si>
    <t xml:space="preserve">Isometric: +5 s per session to 45 s, then longer lever</t>
  </si>
  <si>
    <t xml:space="preserve">Short lever (knee on bench) first. Move to Saturday if adductors are tight for class.</t>
  </si>
  <si>
    <t xml:space="preserve">Standing cable hip abduction</t>
  </si>
  <si>
    <t xml:space="preserve">Hip abduction, hip extended</t>
  </si>
  <si>
    <t xml:space="preserve">12–15 / side</t>
  </si>
  <si>
    <t xml:space="preserve">Shares the cable with the Pallof press.</t>
  </si>
  <si>
    <t xml:space="preserve">Hip hike off step (DB in working-side hand)</t>
  </si>
  <si>
    <t xml:space="preserve">Pelvic elevation / hip hike L &amp; R</t>
  </si>
  <si>
    <t xml:space="preserve">10–15 / side</t>
  </si>
  <si>
    <t xml:space="preserve">Seated cable rotation (hips fixed) or rotary torso machine</t>
  </si>
  <si>
    <t xml:space="preserve">Spinal rotation L &amp; R</t>
  </si>
  <si>
    <t xml:space="preserve">10–12 / side</t>
  </si>
  <si>
    <t xml:space="preserve">Replaces the woodchop, which is mostly hips.</t>
  </si>
  <si>
    <t xml:space="preserve">Pallof press</t>
  </si>
  <si>
    <t xml:space="preserve">Anti-rotation</t>
  </si>
  <si>
    <t xml:space="preserve">10 / side</t>
  </si>
  <si>
    <t xml:space="preserve">Suitcase carry</t>
  </si>
  <si>
    <t xml:space="preserve">One-hand carry; anti-lateral flexion</t>
  </si>
  <si>
    <t xml:space="preserve">20 m / side</t>
  </si>
  <si>
    <t xml:space="preserve">Hard but level hips</t>
  </si>
  <si>
    <t xml:space="preserve">Carry: hit top distance, then add load</t>
  </si>
  <si>
    <t xml:space="preserve">Weaker side first; match it on the other side.</t>
  </si>
  <si>
    <t xml:space="preserve">Neck harness: flexion, extension, lateral L, lateral R</t>
  </si>
  <si>
    <t xml:space="preserve">Neck flexion; extension; lateral flexion L &amp; R</t>
  </si>
  <si>
    <t xml:space="preserve">15–20 (1 set per direction)</t>
  </si>
  <si>
    <t xml:space="preserve">RIR 3</t>
  </si>
  <si>
    <t xml:space="preserve">Double progression; +1–2.5 kg steps</t>
  </si>
  <si>
    <t xml:space="preserve">Isometrics only weeks 1–2. See Entry ramps.</t>
  </si>
  <si>
    <t xml:space="preserve">Overhead press</t>
  </si>
  <si>
    <t xml:space="preserve">Vertical push; shoulder flexion; scapular upward rotation</t>
  </si>
  <si>
    <t xml:space="preserve">Front raise dropped: the presses already load shoulder flexion.</t>
  </si>
  <si>
    <t xml:space="preserve">Weighted pull-up</t>
  </si>
  <si>
    <t xml:space="preserve">Vertical pull; shoulder adduction; scapular depression &amp; downward rotation</t>
  </si>
  <si>
    <t xml:space="preserve">4–6</t>
  </si>
  <si>
    <t xml:space="preserve">Double progression (added kg)</t>
  </si>
  <si>
    <t xml:space="preserve">Warm up with 2×8 scapular pull-ups (scapular depression).</t>
  </si>
  <si>
    <t xml:space="preserve">Incline barbell bench</t>
  </si>
  <si>
    <t xml:space="preserve">Incline push; 2nd bench exposure</t>
  </si>
  <si>
    <t xml:space="preserve">RPE 7</t>
  </si>
  <si>
    <t xml:space="preserve">Second-day lift (calculator)</t>
  </si>
  <si>
    <t xml:space="preserve">Paused bench is a fine swap.</t>
  </si>
  <si>
    <t xml:space="preserve">Straight-arm pulldown</t>
  </si>
  <si>
    <t xml:space="preserve">Shoulder extension</t>
  </si>
  <si>
    <t xml:space="preserve">Lateral raise (cable or DB)</t>
  </si>
  <si>
    <t xml:space="preserve">Shoulder abduction; scapular upward rotation</t>
  </si>
  <si>
    <t xml:space="preserve">Double progression + ready-to-jump rule</t>
  </si>
  <si>
    <t xml:space="preserve">Small-jump problem: on a cable, rest a 1.25 kg plate on the top of the stack, or use the Accessory log jump rule.</t>
  </si>
  <si>
    <t xml:space="preserve">Shrug</t>
  </si>
  <si>
    <t xml:space="preserve">Scapular elevation</t>
  </si>
  <si>
    <t xml:space="preserve">Straps.</t>
  </si>
  <si>
    <t xml:space="preserve">Cable external rotation</t>
  </si>
  <si>
    <t xml:space="preserve">Shoulder external rotation</t>
  </si>
  <si>
    <t xml:space="preserve">Superset with internal rotation.</t>
  </si>
  <si>
    <t xml:space="preserve">Cable internal rotation</t>
  </si>
  <si>
    <t xml:space="preserve">Shoulder internal rotation</t>
  </si>
  <si>
    <t xml:space="preserve">Deadlift</t>
  </si>
  <si>
    <t xml:space="preserve">Hinge; hip extension; support grip</t>
  </si>
  <si>
    <t xml:space="preserve">Straps on back-off sets. Heaviest day sits on the no-class night.</t>
  </si>
  <si>
    <t xml:space="preserve">Hip thrust (machine if available)</t>
  </si>
  <si>
    <t xml:space="preserve">Bridge / hip extension, knee bent</t>
  </si>
  <si>
    <t xml:space="preserve">Lying leg curl</t>
  </si>
  <si>
    <t xml:space="preserve">Knee flexion, hip extended</t>
  </si>
  <si>
    <t xml:space="preserve">Nordic curl is optional instead, only with a solid heel anchor and after its entry ramp.</t>
  </si>
  <si>
    <t xml:space="preserve">Leg extension</t>
  </si>
  <si>
    <t xml:space="preserve">Knee extension, hip flexed</t>
  </si>
  <si>
    <t xml:space="preserve">Moved off Monday so quads are fresher for class.</t>
  </si>
  <si>
    <t xml:space="preserve">Reverse Nordic (heels under DB rack, on a mat)</t>
  </si>
  <si>
    <t xml:space="preserve">Knee extension, hip extended</t>
  </si>
  <si>
    <t xml:space="preserve">RIR 2–3</t>
  </si>
  <si>
    <t xml:space="preserve">Range first, then hold a plate</t>
  </si>
  <si>
    <t xml:space="preserve">See Entry ramps.</t>
  </si>
  <si>
    <t xml:space="preserve">Standing calf raise</t>
  </si>
  <si>
    <t xml:space="preserve">Plantar flexion, knee straight (gastrocnemius)</t>
  </si>
  <si>
    <t xml:space="preserve">DB side bend</t>
  </si>
  <si>
    <t xml:space="preserve">Spinal lateral flexion L &amp; R</t>
  </si>
  <si>
    <t xml:space="preserve">Seated cable inversion / eversion</t>
  </si>
  <si>
    <t xml:space="preserve">Ankle inversion &amp; eversion</t>
  </si>
  <si>
    <t xml:space="preserve">15–20 / side (1 set each)</t>
  </si>
  <si>
    <t xml:space="preserve">Cuff around the midfoot, knee locked so the hip can't help.</t>
  </si>
  <si>
    <t xml:space="preserve">Sat</t>
  </si>
  <si>
    <t xml:space="preserve">Front squat</t>
  </si>
  <si>
    <t xml:space="preserve">Squat (2nd exposure); anti-flexion</t>
  </si>
  <si>
    <t xml:space="preserve">3–5</t>
  </si>
  <si>
    <t xml:space="preserve">Light on purpose: 48 h before Monday's squat.</t>
  </si>
  <si>
    <t xml:space="preserve">A</t>
  </si>
  <si>
    <t xml:space="preserve">Step-up</t>
  </si>
  <si>
    <t xml:space="preserve">Step-up / single-leg squat</t>
  </si>
  <si>
    <t xml:space="preserve">Seated hip adductor machine</t>
  </si>
  <si>
    <t xml:space="preserve">Hip adduction, hip flexed</t>
  </si>
  <si>
    <t xml:space="preserve">Seated hip abductor machine</t>
  </si>
  <si>
    <t xml:space="preserve">Hip abduction, hip flexed</t>
  </si>
  <si>
    <t xml:space="preserve">Seated cable hip IR / ER (hip flexed)</t>
  </si>
  <si>
    <t xml:space="preserve">Hip internal &amp; external rotation, hip flexed</t>
  </si>
  <si>
    <t xml:space="preserve">10–15 / side (1 set each)</t>
  </si>
  <si>
    <t xml:space="preserve">Double progression; never heavy at end range</t>
  </si>
  <si>
    <t xml:space="preserve">Prone or standing cable hip IR / ER (hip extended)</t>
  </si>
  <si>
    <t xml:space="preserve">Hip internal &amp; external rotation, hip extended</t>
  </si>
  <si>
    <t xml:space="preserve">Knee bent 90°, cuff at the ankle.</t>
  </si>
  <si>
    <t xml:space="preserve">Cable knee raise (ankle strap)</t>
  </si>
  <si>
    <t xml:space="preserve">Hip flexion, knee bent</t>
  </si>
  <si>
    <t xml:space="preserve">8–12 / side</t>
  </si>
  <si>
    <t xml:space="preserve">Elbow flexion – Sat A slot</t>
  </si>
  <si>
    <t xml:space="preserve">Odd blocks: incline curl (arm behind body). Even blocks: reverse curl (pronated)</t>
  </si>
  <si>
    <t xml:space="preserve">Elbow extension – Sat A slot</t>
  </si>
  <si>
    <t xml:space="preserve">Odd blocks: overhead cable extension. Even blocks: cable kickback (arm behind body)</t>
  </si>
  <si>
    <t xml:space="preserve">Front-rack carry (2 DB/KB) or Zercher hold in rack</t>
  </si>
  <si>
    <t xml:space="preserve">Front-loaded / rack / Zercher carry; anti-flexion</t>
  </si>
  <si>
    <t xml:space="preserve">20 m or 20–30 s</t>
  </si>
  <si>
    <t xml:space="preserve">Moderate</t>
  </si>
  <si>
    <t xml:space="preserve">Carry: hit top, then add load</t>
  </si>
  <si>
    <t xml:space="preserve">Keep light in the first block (elbow crease, lumbar flexion).</t>
  </si>
  <si>
    <t xml:space="preserve">Wrist curl + reverse wrist curl</t>
  </si>
  <si>
    <t xml:space="preserve">Wrist flexion &amp; extension</t>
  </si>
  <si>
    <t xml:space="preserve">15–20 (1 set each)</t>
  </si>
  <si>
    <t xml:space="preserve">Cable pronation / supination</t>
  </si>
  <si>
    <t xml:space="preserve">Forearm pronation &amp; supination</t>
  </si>
  <si>
    <t xml:space="preserve">12–20 (1 set each)</t>
  </si>
  <si>
    <t xml:space="preserve">Single cable handle gives finer steps than a lever dumbbell.</t>
  </si>
  <si>
    <t xml:space="preserve">B</t>
  </si>
  <si>
    <t xml:space="preserve">Segmental back extension (45°)</t>
  </si>
  <si>
    <t xml:space="preserve">Spinal extension</t>
  </si>
  <si>
    <t xml:space="preserve">Round down, then extend the spine with the hips fixed. Moved off Friday to spread spinal load.</t>
  </si>
  <si>
    <t xml:space="preserve">Loaded thoracic extension (45° bench)</t>
  </si>
  <si>
    <t xml:space="preserve">Thoracic extension</t>
  </si>
  <si>
    <t xml:space="preserve">10–12</t>
  </si>
  <si>
    <t xml:space="preserve">Pad at the lower ribs, plate held at the upper back.</t>
  </si>
  <si>
    <t xml:space="preserve">Half-kneeling cable thoracic rotation</t>
  </si>
  <si>
    <t xml:space="preserve">Thoracic rotation L &amp; R</t>
  </si>
  <si>
    <t xml:space="preserve">Prone Y-raise (incline bench)</t>
  </si>
  <si>
    <t xml:space="preserve">Scapular upward rotation &amp; posterior tilt</t>
  </si>
  <si>
    <t xml:space="preserve">Cable serratus punch</t>
  </si>
  <si>
    <t xml:space="preserve">Scapular protraction &amp; upward rotation</t>
  </si>
  <si>
    <t xml:space="preserve">Bench press doesn't reach full protraction.</t>
  </si>
  <si>
    <t xml:space="preserve">Elbow flexion – Sat B slot</t>
  </si>
  <si>
    <t xml:space="preserve">Odd blocks: hammer curl (neutral). Even blocks: EZ curl (supinated)</t>
  </si>
  <si>
    <t xml:space="preserve">Elbow extension – Sat B slot</t>
  </si>
  <si>
    <t xml:space="preserve">Odd blocks: pushdown (arm at side). Even blocks: skull crusher (arm in front)</t>
  </si>
  <si>
    <t xml:space="preserve">Overhead carry (DB)</t>
  </si>
  <si>
    <t xml:space="preserve">Overhead carry; scapular upward rotation</t>
  </si>
  <si>
    <t xml:space="preserve">20 m</t>
  </si>
  <si>
    <t xml:space="preserve">Light until thoracic extension is good.</t>
  </si>
  <si>
    <t xml:space="preserve">Radial / ulnar deviation (DB held at one end)</t>
  </si>
  <si>
    <t xml:space="preserve">Wrist radial &amp; ulnar deviation</t>
  </si>
  <si>
    <t xml:space="preserve">Double progression; change lever length</t>
  </si>
  <si>
    <t xml:space="preserve">Grip the handle right next to one head, arm at your side. Slide the hand away from that head to make it heavier: free fine steps without a loadable handle.</t>
  </si>
  <si>
    <t xml:space="preserve">Barbell finger rolls</t>
  </si>
  <si>
    <t xml:space="preserve">Crush grip / finger flexion</t>
  </si>
  <si>
    <t xml:space="preserve">Let the bar roll to the fingertips, then curl it back.</t>
  </si>
  <si>
    <t xml:space="preserve">Plate pinch</t>
  </si>
  <si>
    <t xml:space="preserve">Pinch grip; thumb</t>
  </si>
  <si>
    <t xml:space="preserve">20–45 s</t>
  </si>
  <si>
    <t xml:space="preserve">Near max hold</t>
  </si>
  <si>
    <t xml:space="preserve">Isometric: +5 s per session to 45 s, then heavier plates</t>
  </si>
  <si>
    <t xml:space="preserve">Smooth-sided plates or a hex-dumbbell head.</t>
  </si>
  <si>
    <t xml:space="preserve">Supine chin tuck (head off bed edge)</t>
  </si>
  <si>
    <t xml:space="preserve">Neck retraction</t>
  </si>
  <si>
    <t xml:space="preserve">10–15 (5 s hold)</t>
  </si>
  <si>
    <t xml:space="preserve">Easy</t>
  </si>
  <si>
    <t xml:space="preserve">Reps, then light plate</t>
  </si>
  <si>
    <t xml:space="preserve">About 10 minutes, twice a week, e.g. Tue and Sun.</t>
  </si>
  <si>
    <t xml:space="preserve">Neck rotation isometric (hand or band)</t>
  </si>
  <si>
    <t xml:space="preserve">Neck rotation L &amp; R</t>
  </si>
  <si>
    <t xml:space="preserve">10 s / side</t>
  </si>
  <si>
    <t xml:space="preserve">50→80% effort</t>
  </si>
  <si>
    <t xml:space="preserve">Isometric</t>
  </si>
  <si>
    <t xml:space="preserve">Gripper</t>
  </si>
  <si>
    <t xml:space="preserve">Crush grip</t>
  </si>
  <si>
    <t xml:space="preserve">Finger extension band</t>
  </si>
  <si>
    <t xml:space="preserve">Finger extension</t>
  </si>
  <si>
    <t xml:space="preserve">20–30</t>
  </si>
  <si>
    <t xml:space="preserve">Reps, then thicker band</t>
  </si>
  <si>
    <t xml:space="preserve">Finger abduction band + adduction squeeze</t>
  </si>
  <si>
    <t xml:space="preserve">Finger abduction &amp; adduction</t>
  </si>
  <si>
    <t xml:space="preserve">20 (1 set each)</t>
  </si>
  <si>
    <t xml:space="preserve">Squeeze a folded towel between the fingers for adduction.</t>
  </si>
  <si>
    <t xml:space="preserve">Thumb band: extension &amp; abduction</t>
  </si>
  <si>
    <t xml:space="preserve">Thumb extension &amp; abduction</t>
  </si>
  <si>
    <t xml:space="preserve">Towel curls (big toe, then lesser toes)</t>
  </si>
  <si>
    <t xml:space="preserve">Toe flexion, big &amp; lesser</t>
  </si>
  <si>
    <t xml:space="preserve">15–20</t>
  </si>
  <si>
    <t xml:space="preserve">Add a weight on the towel</t>
  </si>
  <si>
    <t xml:space="preserve">Most gyms won't allow barefoot work, hence home.</t>
  </si>
  <si>
    <t xml:space="preserve">Toe extension against your hand</t>
  </si>
  <si>
    <t xml:space="preserve">Toe extension, big &amp; lesser</t>
  </si>
  <si>
    <t xml:space="preserve">10 × 5 s holds</t>
  </si>
  <si>
    <t xml:space="preserve">Firm</t>
  </si>
  <si>
    <t xml:space="preserve">Reps, then longer holds</t>
  </si>
  <si>
    <t xml:space="preserve">Seated, foot flat; lift the toes into your fingers. Big toe alone, then the four small toes.</t>
  </si>
  <si>
    <t xml:space="preserve">Short-foot holds + toe-spread drill</t>
  </si>
  <si>
    <t xml:space="preserve">Arch (intrinsics); toe abduction</t>
  </si>
  <si>
    <t xml:space="preserve">10 s</t>
  </si>
  <si>
    <t xml:space="preserve">Controlled</t>
  </si>
  <si>
    <t xml:space="preserve">Toe spreading is mostly learned control.</t>
  </si>
  <si>
    <t xml:space="preserve">Seated tibial rotation vs your hand</t>
  </si>
  <si>
    <t xml:space="preserve">Tibial internal &amp; external rotation</t>
  </si>
  <si>
    <t xml:space="preserve">10 / side (1 set each)</t>
  </si>
  <si>
    <t xml:space="preserve">Reps, then 5 s holds</t>
  </si>
  <si>
    <t xml:space="preserve">Knee at 90°, thigh still, ankle locked; turn the shin in and out against your hand. Small (~30°) range.</t>
  </si>
  <si>
    <t xml:space="preserve">Priority items this block (aim for 4–5, small movements only):</t>
  </si>
  <si>
    <t xml:space="preserve">Priority adds 2 sets/week. Main lifts stay as written. Sets this week = sets this block × the current week's volume % (from Plan).</t>
  </si>
  <si>
    <t xml:space="preserve">Week starts</t>
  </si>
  <si>
    <t xml:space="preserve">Top-set reps</t>
  </si>
  <si>
    <t xml:space="preserve">Top-set RPE</t>
  </si>
  <si>
    <t xml:space="preserve">Back-off % below top</t>
  </si>
  <si>
    <t xml:space="preserve">Saturday</t>
  </si>
  <si>
    <t xml:space="preserve">Ramp</t>
  </si>
  <si>
    <t xml:space="preserve">3 × 5</t>
  </si>
  <si>
    <t xml:space="preserve">Re-learn the lifts. New risky work: 1 set (see Entry ramps).</t>
  </si>
  <si>
    <t xml:space="preserve">New risky work: 2 sets.</t>
  </si>
  <si>
    <t xml:space="preserve">Last ramp week. Its e1RMs seed Block 1.</t>
  </si>
  <si>
    <t xml:space="preserve">1 × 5 at the same load</t>
  </si>
  <si>
    <t xml:space="preserve">Deload: about half the sets, loads ~90%, RPE ≤6.</t>
  </si>
  <si>
    <t xml:space="preserve">Block 1</t>
  </si>
  <si>
    <t xml:space="preserve">Pick this block's 4–5 priority items in Program. Elbow variants: odd list.</t>
  </si>
  <si>
    <t xml:space="preserve">3 × 3</t>
  </si>
  <si>
    <t xml:space="preserve">2 × 3</t>
  </si>
  <si>
    <t xml:space="preserve">Test: one top single @RPE 9. That e1RM is the new baseline. Also run the Tests sheet.</t>
  </si>
  <si>
    <t xml:space="preserve">Deload: about half the sets, loads ~90%, RPE ≤6. Good week for exams or gradings.</t>
  </si>
  <si>
    <t xml:space="preserve">Block 2</t>
  </si>
  <si>
    <t xml:space="preserve">Pick this block's 4–5 priority items in Program. Elbow variants: even list.</t>
  </si>
  <si>
    <t xml:space="preserve">Blue = editable plan values. To continue past week 31, copy the 12 Block 2 rows below and renumber Week. Block weeks 1–5: 5s / 3s / singles wave. 6 and 12: deload. 11: test single.</t>
  </si>
  <si>
    <t xml:space="preserve">NEXT SESSION</t>
  </si>
  <si>
    <t xml:space="preserve">Suggested loads from your best e1RM in the last 21 days (all-time best if none). Rounded to 2.5 kg.</t>
  </si>
  <si>
    <t xml:space="preserve">Lift</t>
  </si>
  <si>
    <t xml:space="preserve">Best e1RM (21 d)</t>
  </si>
  <si>
    <t xml:space="preserve">Best e1RM (all)</t>
  </si>
  <si>
    <t xml:space="preserve">Target reps</t>
  </si>
  <si>
    <t xml:space="preserve">Target RPE</t>
  </si>
  <si>
    <t xml:space="preserve">Top set kg</t>
  </si>
  <si>
    <t xml:space="preserve">Back-off kg</t>
  </si>
  <si>
    <t xml:space="preserve">3 sets at the top-set load</t>
  </si>
  <si>
    <t xml:space="preserve">Weighted pull-up and all other lifts use the Accessory log. Incline and front squat are second-day lifts: fixed 3 sets of ~4 @RPE 7 (blue cells editable). Deload weeks: one top set of 5 @RPE 6 plus 1 × 5 at the same load.</t>
  </si>
  <si>
    <t xml:space="preserve">LOG – one row per top set</t>
  </si>
  <si>
    <t xml:space="preserve">Date</t>
  </si>
  <si>
    <t xml:space="preserve">Reps</t>
  </si>
  <si>
    <t xml:space="preserve">RPE</t>
  </si>
  <si>
    <t xml:space="preserve">Back-off reps (each)</t>
  </si>
  <si>
    <t xml:space="preserve">Prior best e1RM</t>
  </si>
  <si>
    <t xml:space="preserve">Trend</t>
  </si>
  <si>
    <t xml:space="preserve">Example: Back squat</t>
  </si>
  <si>
    <t xml:space="preserve">Grey row = example; overwrite it. 'Example:' names are ignored by the calculator. 'Below trend' twice in a row for a lift = deload next week.</t>
  </si>
  <si>
    <t xml:space="preserve">Load kg</t>
  </si>
  <si>
    <t xml:space="preserve">Set 1</t>
  </si>
  <si>
    <t xml:space="preserve">Set 2</t>
  </si>
  <si>
    <t xml:space="preserve">Set 3</t>
  </si>
  <si>
    <t xml:space="preserve">Set 4</t>
  </si>
  <si>
    <t xml:space="preserve">Sets done</t>
  </si>
  <si>
    <t xml:space="preserve">Action</t>
  </si>
  <si>
    <t xml:space="preserve">Next available kg</t>
  </si>
  <si>
    <t xml:space="preserve">Reps needed before that jump</t>
  </si>
  <si>
    <t xml:space="preserve">Grey row = example; overwrite it. Sets = reps, seconds or metres, matching the Program range. 'Next available kg' is optional: type the next weight you can actually use and the last column shows how many reps you need at the current load before jumping (ready-to-jump rule). If that's above the range, keep adding reps or use fractional plates.</t>
  </si>
  <si>
    <t xml:space="preserve">Sleep (1–5)</t>
  </si>
  <si>
    <t xml:space="preserve">Legs fresh (1–5)</t>
  </si>
  <si>
    <t xml:space="preserve">Energy (1–5)</t>
  </si>
  <si>
    <t xml:space="preserve">Total</t>
  </si>
  <si>
    <t xml:space="preserve">Today's call</t>
  </si>
  <si>
    <t xml:space="preserve">Kung fu felt flat? (Y/N)</t>
  </si>
  <si>
    <t xml:space="preserve">Worst joint pain (0–10)</t>
  </si>
  <si>
    <t xml:space="preserve">Which joint</t>
  </si>
  <si>
    <t xml:space="preserve">Pain action</t>
  </si>
  <si>
    <t xml:space="preserve">Session minutes</t>
  </si>
  <si>
    <t xml:space="preserve">Flat kung fu nights</t>
  </si>
  <si>
    <t xml:space="preserve">Sessions &gt; 75 min</t>
  </si>
  <si>
    <t xml:space="preserve">Flag</t>
  </si>
  <si>
    <t xml:space="preserve">N</t>
  </si>
  <si>
    <t xml:space="preserve">Left elbow</t>
  </si>
  <si>
    <t xml:space="preserve">Grey row = example; overwrite it. Score before training; 'Kung fu felt flat' is about that night's class.</t>
  </si>
  <si>
    <t xml:space="preserve">Test</t>
  </si>
  <si>
    <t xml:space="preserve">How</t>
  </si>
  <si>
    <t xml:space="preserve">Unit</t>
  </si>
  <si>
    <t xml:space="preserve">Fixed load (kg)</t>
  </si>
  <si>
    <t xml:space="preserve">Block 1 wk 1</t>
  </si>
  <si>
    <t xml:space="preserve">Block 1 wk 11</t>
  </si>
  <si>
    <t xml:space="preserve">Change</t>
  </si>
  <si>
    <t xml:space="preserve">Block 2 wk 1</t>
  </si>
  <si>
    <t xml:space="preserve">Block 2 wk 11</t>
  </si>
  <si>
    <t xml:space="preserve">Neck flexion</t>
  </si>
  <si>
    <t xml:space="preserve">Harness, fixed load, slow reps to RIR 0</t>
  </si>
  <si>
    <t xml:space="preserve">reps</t>
  </si>
  <si>
    <t xml:space="preserve">Neck extension</t>
  </si>
  <si>
    <t xml:space="preserve">Harness, fixed load, from flexed to neutral</t>
  </si>
  <si>
    <t xml:space="preserve">Neck lateral flexion L</t>
  </si>
  <si>
    <t xml:space="preserve">Harness, fixed load</t>
  </si>
  <si>
    <t xml:space="preserve">Neck lateral flexion R</t>
  </si>
  <si>
    <t xml:space="preserve">Hip IR (hip flexed) L/R worse side</t>
  </si>
  <si>
    <t xml:space="preserve">Seated cable, fixed load, controlled range</t>
  </si>
  <si>
    <t xml:space="preserve">Hip ER (hip flexed) L/R worse side</t>
  </si>
  <si>
    <t xml:space="preserve">Seated cable, fixed load</t>
  </si>
  <si>
    <t xml:space="preserve">Shoulder ER</t>
  </si>
  <si>
    <t xml:space="preserve">Cable at side, fixed load</t>
  </si>
  <si>
    <t xml:space="preserve">Pinch hold</t>
  </si>
  <si>
    <t xml:space="preserve">Two smooth plates, fixed total</t>
  </si>
  <si>
    <t xml:space="preserve">s</t>
  </si>
  <si>
    <t xml:space="preserve">Closes in one set</t>
  </si>
  <si>
    <t xml:space="preserve">Wrist radial deviation</t>
  </si>
  <si>
    <t xml:space="preserve">DB held at one end, fixed grip position</t>
  </si>
  <si>
    <t xml:space="preserve">Wrist ulnar deviation</t>
  </si>
  <si>
    <t xml:space="preserve">Same set-up</t>
  </si>
  <si>
    <t xml:space="preserve">Dorsiflexion</t>
  </si>
  <si>
    <t xml:space="preserve">Cable, fixed load</t>
  </si>
  <si>
    <t xml:space="preserve">Copenhagen plank, worse side</t>
  </si>
  <si>
    <t xml:space="preserve">Long lever, max hold</t>
  </si>
  <si>
    <t xml:space="preserve">Toe flexion</t>
  </si>
  <si>
    <t xml:space="preserve">Towel curls with fixed weight</t>
  </si>
  <si>
    <t xml:space="preserve">Use the same fixed load every test so the numbers compare. Block 2 'Change' compares with the end of Block 1. Small joints plateau sooner than the main lifts; holding a solid number is a win.</t>
  </si>
  <si>
    <t xml:space="preserve">Weeks 1–2</t>
  </si>
  <si>
    <t xml:space="preserve">Weeks 3–4</t>
  </si>
  <si>
    <t xml:space="preserve">Weeks 5–6</t>
  </si>
  <si>
    <t xml:space="preserve">Stop / swap if</t>
  </si>
  <si>
    <t xml:space="preserve">Neck (all directions)</t>
  </si>
  <si>
    <t xml:space="preserve">Hand-resisted isometrics ~50% effort, 2 × 10 s each direction + chin tucks</t>
  </si>
  <si>
    <t xml:space="preserve">Lying bodyweight or band, 2 × 12–15, slow</t>
  </si>
  <si>
    <t xml:space="preserve">Light harness, 2 × 15. Extension: load only from flexed to neutral</t>
  </si>
  <si>
    <t xml:space="preserve">Any headache, tingling or sharp pain: back to isometrics</t>
  </si>
  <si>
    <t xml:space="preserve">Assisted or bodyweight, 2–3 × 5–8; upper arm stops at parallel</t>
  </si>
  <si>
    <t xml:space="preserve">Bodyweight 3 × 8–10</t>
  </si>
  <si>
    <t xml:space="preserve">+5 kg, 3 × 6</t>
  </si>
  <si>
    <t xml:space="preserve">Sternum or front-of-shoulder pain: swap to decline press</t>
  </si>
  <si>
    <t xml:space="preserve">Reverse Nordic</t>
  </si>
  <si>
    <t xml:space="preserve">Partial lean ~30–45°, 2 × 6, holding a dowel or band</t>
  </si>
  <si>
    <t xml:space="preserve">2 × 8, deeper</t>
  </si>
  <si>
    <t xml:space="preserve">Full range 2 × 8; add a plate later</t>
  </si>
  <si>
    <t xml:space="preserve">Knee pain: shorten the range</t>
  </si>
  <si>
    <t xml:space="preserve">Short lever (knee on bench), 2 × 10–15 s</t>
  </si>
  <si>
    <t xml:space="preserve">Short lever 3 × 20 s or long lever 2 × 10 s</t>
  </si>
  <si>
    <t xml:space="preserve">Long lever 3 × 15–20 s</t>
  </si>
  <si>
    <t xml:space="preserve">Groin twinge: back a stage; never before a hard kicking class</t>
  </si>
  <si>
    <t xml:space="preserve">Hip IR / ER</t>
  </si>
  <si>
    <t xml:space="preserve">Mid-range isometrics pushing against your hand or the bench, 3 × 20 s</t>
  </si>
  <si>
    <t xml:space="preserve">Lightest cable plate, pain-free range, 2 × 12</t>
  </si>
  <si>
    <t xml:space="preserve">Light cable 2 × 10, controlled</t>
  </si>
  <si>
    <t xml:space="preserve">Pinching at end range: stay mid-range</t>
  </si>
  <si>
    <t xml:space="preserve">Bodyweight, partial depth, 2 × 6</t>
  </si>
  <si>
    <t xml:space="preserve">Bodyweight full depth</t>
  </si>
  <si>
    <t xml:space="preserve">Goblet, light</t>
  </si>
  <si>
    <t xml:space="preserve">Groin or knee pain: reduce depth</t>
  </si>
  <si>
    <t xml:space="preserve">Ab rollout</t>
  </si>
  <si>
    <t xml:space="preserve">From knees, partial range</t>
  </si>
  <si>
    <t xml:space="preserve">From knees, longer range</t>
  </si>
  <si>
    <t xml:space="preserve">Full range from knees</t>
  </si>
  <si>
    <t xml:space="preserve">Low-back pain: shorten range</t>
  </si>
  <si>
    <t xml:space="preserve">Nordic curl (optional)</t>
  </si>
  <si>
    <t xml:space="preserve">Only with a solid heel anchor. Band-assisted or partial, 2 × 3</t>
  </si>
  <si>
    <t xml:space="preserve">2 × 4–5, less help</t>
  </si>
  <si>
    <t xml:space="preserve">3 × 4–5, full lowering</t>
  </si>
  <si>
    <t xml:space="preserve">Hamstring cramp or sharp pain: back to lying curl</t>
  </si>
  <si>
    <t xml:space="preserve">Front-rack / Zercher carry</t>
  </si>
  <si>
    <t xml:space="preserve">Light, short distance</t>
  </si>
  <si>
    <t xml:space="preserve">Progress normally</t>
  </si>
  <si>
    <t xml:space="preserve">Elbow-crease or low-back discomfort: use dumbbells in rack</t>
  </si>
  <si>
    <t xml:space="preserve">Region</t>
  </si>
  <si>
    <t xml:space="preserve">Movement</t>
  </si>
  <si>
    <t xml:space="preserve">Trained by</t>
  </si>
  <si>
    <t xml:space="preserve">Status</t>
  </si>
  <si>
    <t xml:space="preserve">Compound</t>
  </si>
  <si>
    <t xml:space="preserve">Squat</t>
  </si>
  <si>
    <t xml:space="preserve">Back squat; front squat</t>
  </si>
  <si>
    <t xml:space="preserve">Mon; Sat</t>
  </si>
  <si>
    <t xml:space="preserve">Gym</t>
  </si>
  <si>
    <t xml:space="preserve">Hinge</t>
  </si>
  <si>
    <t xml:space="preserve">Bridge / hip thrust</t>
  </si>
  <si>
    <t xml:space="preserve">Hip thrust</t>
  </si>
  <si>
    <t xml:space="preserve">Lunge / split squat</t>
  </si>
  <si>
    <t xml:space="preserve">Lateral lunge / Cossack</t>
  </si>
  <si>
    <t xml:space="preserve">Horizontal push</t>
  </si>
  <si>
    <t xml:space="preserve">Incline push</t>
  </si>
  <si>
    <t xml:space="preserve">Decline push / dip</t>
  </si>
  <si>
    <t xml:space="preserve">Vertical push</t>
  </si>
  <si>
    <t xml:space="preserve">Overhead press; seated DB press</t>
  </si>
  <si>
    <t xml:space="preserve">Thu; Tue</t>
  </si>
  <si>
    <t xml:space="preserve">Horizontal pull</t>
  </si>
  <si>
    <t xml:space="preserve">Vertical pull</t>
  </si>
  <si>
    <t xml:space="preserve">Carry – two-hand</t>
  </si>
  <si>
    <t xml:space="preserve">Farmer carry</t>
  </si>
  <si>
    <t xml:space="preserve">Carry – one-hand / suitcase</t>
  </si>
  <si>
    <t xml:space="preserve">Carry – front-loaded / rack / Zercher</t>
  </si>
  <si>
    <t xml:space="preserve">Front-rack carry or Zercher hold</t>
  </si>
  <si>
    <t xml:space="preserve">Carry – overhead</t>
  </si>
  <si>
    <t xml:space="preserve">Overhead carry</t>
  </si>
  <si>
    <t xml:space="preserve">Trunk</t>
  </si>
  <si>
    <t xml:space="preserve">Cable crunch; hanging leg raise</t>
  </si>
  <si>
    <t xml:space="preserve">Segmental back extension</t>
  </si>
  <si>
    <t xml:space="preserve">Loaded thoracic extension</t>
  </si>
  <si>
    <t xml:space="preserve">Spinal lateral flexion L / R</t>
  </si>
  <si>
    <t xml:space="preserve">DB side bend, each side</t>
  </si>
  <si>
    <t xml:space="preserve">Spinal rotation L / R</t>
  </si>
  <si>
    <t xml:space="preserve">Seated cable rotation / rotary torso</t>
  </si>
  <si>
    <t xml:space="preserve">Thoracic rotation L / R</t>
  </si>
  <si>
    <t xml:space="preserve">Posterior pelvic tilt</t>
  </si>
  <si>
    <t xml:space="preserve">Hanging leg raise, pelvis curled up</t>
  </si>
  <si>
    <t xml:space="preserve">Pelvic elevation / hip hike L / R</t>
  </si>
  <si>
    <t xml:space="preserve">Loaded hip hike</t>
  </si>
  <si>
    <t xml:space="preserve">Anti-flexion</t>
  </si>
  <si>
    <t xml:space="preserve">Front squat; front-rack carry; farmer carry</t>
  </si>
  <si>
    <t xml:space="preserve">Sat; Tue</t>
  </si>
  <si>
    <t xml:space="preserve">Anti-lateral flexion</t>
  </si>
  <si>
    <t xml:space="preserve">Suitcase carry; Copenhagen plank</t>
  </si>
  <si>
    <t xml:space="preserve">Neck</t>
  </si>
  <si>
    <t xml:space="preserve">Flexion</t>
  </si>
  <si>
    <t xml:space="preserve">Neck harness</t>
  </si>
  <si>
    <t xml:space="preserve">Retraction (chin tuck)</t>
  </si>
  <si>
    <t xml:space="preserve">Supine chin tuck</t>
  </si>
  <si>
    <t xml:space="preserve">Home kit</t>
  </si>
  <si>
    <t xml:space="preserve">Extension</t>
  </si>
  <si>
    <t xml:space="preserve">Lateral flexion L / R</t>
  </si>
  <si>
    <t xml:space="preserve">Rotation L / R</t>
  </si>
  <si>
    <t xml:space="preserve">Rotation isometrics (harness on cable later)</t>
  </si>
  <si>
    <t xml:space="preserve">Scapula</t>
  </si>
  <si>
    <t xml:space="preserve">Elevation</t>
  </si>
  <si>
    <t xml:space="preserve">Depression</t>
  </si>
  <si>
    <t xml:space="preserve">Pull-up; scapular pull-ups</t>
  </si>
  <si>
    <t xml:space="preserve">Retraction</t>
  </si>
  <si>
    <t xml:space="preserve">Chest-supported row; reverse fly</t>
  </si>
  <si>
    <t xml:space="preserve">Protraction</t>
  </si>
  <si>
    <t xml:space="preserve">Upward rotation</t>
  </si>
  <si>
    <t xml:space="preserve">Y-raise; serratus punch; lateral raise; overhead press</t>
  </si>
  <si>
    <t xml:space="preserve">Sat B; Thu</t>
  </si>
  <si>
    <t xml:space="preserve">Downward rotation</t>
  </si>
  <si>
    <t xml:space="preserve">Pull-up; dip; straight-arm pulldown</t>
  </si>
  <si>
    <t xml:space="preserve">Anterior tilt</t>
  </si>
  <si>
    <t xml:space="preserve">Happens with other motions (bottom of dips); no direct loading</t>
  </si>
  <si>
    <t xml:space="preserve">Coupled / motor control</t>
  </si>
  <si>
    <t xml:space="preserve">Posterior tilt</t>
  </si>
  <si>
    <t xml:space="preserve">Prone Y-raise</t>
  </si>
  <si>
    <t xml:space="preserve">Shoulder</t>
  </si>
  <si>
    <t xml:space="preserve">Overhead press; seated DB press; incline bench</t>
  </si>
  <si>
    <t xml:space="preserve">Abduction</t>
  </si>
  <si>
    <t xml:space="preserve">Lateral raise</t>
  </si>
  <si>
    <t xml:space="preserve">Adduction</t>
  </si>
  <si>
    <t xml:space="preserve">Weighted pull-up; straight-arm pulldown</t>
  </si>
  <si>
    <t xml:space="preserve">Horizontal abduction</t>
  </si>
  <si>
    <t xml:space="preserve">Reverse fly</t>
  </si>
  <si>
    <t xml:space="preserve">Horizontal adduction</t>
  </si>
  <si>
    <t xml:space="preserve">Bench press; dip</t>
  </si>
  <si>
    <t xml:space="preserve">External rotation</t>
  </si>
  <si>
    <t xml:space="preserve">Internal rotation</t>
  </si>
  <si>
    <t xml:space="preserve">Elbow</t>
  </si>
  <si>
    <t xml:space="preserve">Flexion, supinated</t>
  </si>
  <si>
    <t xml:space="preserve">EZ curl: Tue (odd blocks), Sat B (even)</t>
  </si>
  <si>
    <t xml:space="preserve">Tue / Sat B</t>
  </si>
  <si>
    <t xml:space="preserve">Gym – rotating</t>
  </si>
  <si>
    <t xml:space="preserve">Flexion, neutral</t>
  </si>
  <si>
    <t xml:space="preserve">Hammer curl: Sat B (odd blocks)</t>
  </si>
  <si>
    <t xml:space="preserve">Flexion, pronated</t>
  </si>
  <si>
    <t xml:space="preserve">Reverse curl: Sat A (even blocks)</t>
  </si>
  <si>
    <t xml:space="preserve">Flexion, arm behind body</t>
  </si>
  <si>
    <t xml:space="preserve">Incline curl: Sat A (odd blocks)</t>
  </si>
  <si>
    <t xml:space="preserve">Flexion, arm in front</t>
  </si>
  <si>
    <t xml:space="preserve">Preacher curl: Tue (even blocks)</t>
  </si>
  <si>
    <t xml:space="preserve">Extension, arm overhead</t>
  </si>
  <si>
    <t xml:space="preserve">Overhead cable ext: Sat A (odd), Tue (even)</t>
  </si>
  <si>
    <t xml:space="preserve">Sat A / Tue</t>
  </si>
  <si>
    <t xml:space="preserve">Extension, arm in front</t>
  </si>
  <si>
    <t xml:space="preserve">Skull crusher: Tue (odd), Sat B (even)</t>
  </si>
  <si>
    <t xml:space="preserve">Extension, arm at side</t>
  </si>
  <si>
    <t xml:space="preserve">Pushdown: Sat B (odd blocks)</t>
  </si>
  <si>
    <t xml:space="preserve">Extension, arm behind body</t>
  </si>
  <si>
    <t xml:space="preserve">Cable kickback: Sat A (even blocks)</t>
  </si>
  <si>
    <t xml:space="preserve">Forearm &amp; wrist</t>
  </si>
  <si>
    <t xml:space="preserve">Pronation</t>
  </si>
  <si>
    <t xml:space="preserve">Cable pronation</t>
  </si>
  <si>
    <t xml:space="preserve">Supination</t>
  </si>
  <si>
    <t xml:space="preserve">Cable supination</t>
  </si>
  <si>
    <t xml:space="preserve">Wrist flexion</t>
  </si>
  <si>
    <t xml:space="preserve">Wrist curl</t>
  </si>
  <si>
    <t xml:space="preserve">Wrist extension</t>
  </si>
  <si>
    <t xml:space="preserve">Reverse wrist curl</t>
  </si>
  <si>
    <t xml:space="preserve">Radial deviation</t>
  </si>
  <si>
    <t xml:space="preserve">DB held at one end</t>
  </si>
  <si>
    <t xml:space="preserve">Ulnar deviation</t>
  </si>
  <si>
    <t xml:space="preserve">Hand</t>
  </si>
  <si>
    <t xml:space="preserve">Barbell finger rolls (gym); gripper (home)</t>
  </si>
  <si>
    <t xml:space="preserve">Sat B; Home</t>
  </si>
  <si>
    <t xml:space="preserve">Support grip</t>
  </si>
  <si>
    <t xml:space="preserve">Farmer carry; deadlift</t>
  </si>
  <si>
    <t xml:space="preserve">Tue; Fri</t>
  </si>
  <si>
    <t xml:space="preserve">Pinch grip</t>
  </si>
  <si>
    <t xml:space="preserve">Band</t>
  </si>
  <si>
    <t xml:space="preserve">Finger abduction</t>
  </si>
  <si>
    <t xml:space="preserve">Finger adduction</t>
  </si>
  <si>
    <t xml:space="preserve">Towel squeeze between fingers</t>
  </si>
  <si>
    <t xml:space="preserve">Thumb extension</t>
  </si>
  <si>
    <t xml:space="preserve">Thumb abduction</t>
  </si>
  <si>
    <t xml:space="preserve">Hip</t>
  </si>
  <si>
    <t xml:space="preserve">Flexion, knee bent</t>
  </si>
  <si>
    <t xml:space="preserve">Cable knee raise</t>
  </si>
  <si>
    <t xml:space="preserve">Flexion, knee straight</t>
  </si>
  <si>
    <t xml:space="preserve">Hanging leg raise</t>
  </si>
  <si>
    <t xml:space="preserve">Deadlift; hip thrust</t>
  </si>
  <si>
    <t xml:space="preserve">Abduction, hip flexed</t>
  </si>
  <si>
    <t xml:space="preserve">Seated abductor machine</t>
  </si>
  <si>
    <t xml:space="preserve">Abduction, hip extended</t>
  </si>
  <si>
    <t xml:space="preserve">Standing cable abduction</t>
  </si>
  <si>
    <t xml:space="preserve">Adduction, hip flexed</t>
  </si>
  <si>
    <t xml:space="preserve">Seated adductor machine</t>
  </si>
  <si>
    <t xml:space="preserve">Adduction, hip extended</t>
  </si>
  <si>
    <t xml:space="preserve">External rotation, hip flexed</t>
  </si>
  <si>
    <t xml:space="preserve">Seated cable hip ER</t>
  </si>
  <si>
    <t xml:space="preserve">External rotation, hip extended</t>
  </si>
  <si>
    <t xml:space="preserve">Prone / standing cable hip ER</t>
  </si>
  <si>
    <t xml:space="preserve">Internal rotation, hip flexed</t>
  </si>
  <si>
    <t xml:space="preserve">Seated cable hip IR</t>
  </si>
  <si>
    <t xml:space="preserve">Internal rotation, hip extended</t>
  </si>
  <si>
    <t xml:space="preserve">Prone / standing cable hip IR</t>
  </si>
  <si>
    <t xml:space="preserve">Knee</t>
  </si>
  <si>
    <t xml:space="preserve">Extension, hip flexed</t>
  </si>
  <si>
    <t xml:space="preserve">Extension, hip extended</t>
  </si>
  <si>
    <t xml:space="preserve">Flexion, hip flexed</t>
  </si>
  <si>
    <t xml:space="preserve">Flexion, hip extended</t>
  </si>
  <si>
    <t xml:space="preserve">Lying leg curl (Nordic optional)</t>
  </si>
  <si>
    <t xml:space="preserve">Tibial internal rotation</t>
  </si>
  <si>
    <t xml:space="preserve">Seated, hand-resisted, small range</t>
  </si>
  <si>
    <t xml:space="preserve">Tibial external rotation</t>
  </si>
  <si>
    <t xml:space="preserve">Ankle</t>
  </si>
  <si>
    <t xml:space="preserve">Plantar flexion, knee straight</t>
  </si>
  <si>
    <t xml:space="preserve">Plantar flexion, knee bent</t>
  </si>
  <si>
    <t xml:space="preserve">Inversion</t>
  </si>
  <si>
    <t xml:space="preserve">Seated cable inversion</t>
  </si>
  <si>
    <t xml:space="preserve">Eversion</t>
  </si>
  <si>
    <t xml:space="preserve">Seated cable eversion</t>
  </si>
  <si>
    <t xml:space="preserve">Foot &amp; toes</t>
  </si>
  <si>
    <t xml:space="preserve">Toe flexion, big toe</t>
  </si>
  <si>
    <t xml:space="preserve">Towel curls</t>
  </si>
  <si>
    <t xml:space="preserve">Toe flexion, lesser toes</t>
  </si>
  <si>
    <t xml:space="preserve">Toe extension, big toe</t>
  </si>
  <si>
    <t xml:space="preserve">Hand-resisted</t>
  </si>
  <si>
    <t xml:space="preserve">Toe extension, lesser toes</t>
  </si>
  <si>
    <t xml:space="preserve">Toe abduction</t>
  </si>
  <si>
    <t xml:space="preserve">Toe-spread drill (mostly learned control)</t>
  </si>
  <si>
    <t xml:space="preserve">Arch (intrinsics)</t>
  </si>
  <si>
    <t xml:space="preserve">Short-foot holds</t>
  </si>
  <si>
    <t xml:space="preserve">Summary</t>
  </si>
  <si>
    <t xml:space="preserve">Item</t>
  </si>
  <si>
    <t xml:space="preserve">Rough price (€)</t>
  </si>
  <si>
    <t xml:space="preserve">Have it?</t>
  </si>
  <si>
    <t xml:space="preserve">Worth buying?</t>
  </si>
  <si>
    <t xml:space="preserve">What it unlocks / workaround if you don't buy it</t>
  </si>
  <si>
    <t xml:space="preserve">Ankle strap (cable cuff)</t>
  </si>
  <si>
    <t xml:space="preserve">Y</t>
  </si>
  <si>
    <t xml:space="preserve">Dorsiflexion, hip abduction, hip rotations, knee raise, inversion/eversion</t>
  </si>
  <si>
    <t xml:space="preserve">Loaded neck flexion, extension and lateral flexion; rotation later</t>
  </si>
  <si>
    <t xml:space="preserve">Adjustable hand gripper</t>
  </si>
  <si>
    <t xml:space="preserve">Crush grip at home</t>
  </si>
  <si>
    <t xml:space="preserve">Finger / thumb extensor bands</t>
  </si>
  <si>
    <t xml:space="preserve">Finger and thumb extension and abduction</t>
  </si>
  <si>
    <t xml:space="preserve">Fractional magnetic plates 0.5–1.25 kg</t>
  </si>
  <si>
    <t xml:space="preserve">Yes, first</t>
  </si>
  <si>
    <t xml:space="preserve">Small steps on lateral raise, ER/IR, neck, wrist. Without them: rest a 1.25 kg plate on top of the cable stack, add reps before jumping (Accessory log rule), and use dumbbell 1 kg steps where the rack has them</t>
  </si>
  <si>
    <t xml:space="preserve">Mini-band loop set</t>
  </si>
  <si>
    <t xml:space="preserve">Optional</t>
  </si>
  <si>
    <t xml:space="preserve">Nothing depends on it now: toe extension and tibial rotation are hand-resisted, the hip-rotation ramp uses your hand then the lightest cable plate</t>
  </si>
  <si>
    <t xml:space="preserve">Thick-grip sleeves</t>
  </si>
  <si>
    <t xml:space="preserve">Not used in the program. If you want thick-bar work, wrap a towel around a dumbbell handle</t>
  </si>
  <si>
    <t xml:space="preserve">Loadable dumbbell handle or wrist roller</t>
  </si>
  <si>
    <t xml:space="preserve">Radial/ulnar deviation uses a normal dumbbell held at one end; slide the hand to change the load</t>
  </si>
  <si>
    <t xml:space="preserve">Still to buy (marked 'Yes')</t>
  </si>
  <si>
    <t xml:space="preserve">Everything you don't have</t>
  </si>
  <si>
    <t xml:space="preserve">Prices are rough estimates (Oct 2026), not checked against shops. Many Spanish chains ban chalk: liquid chalk is the safer bet.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</si>
</sst>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\ yyyy"/>
    <numFmt numFmtId="166" formatCode="General"/>
    <numFmt numFmtId="167" formatCode="0%"/>
    <numFmt numFmtId="168" formatCode="0.0;\-0.0;\–"/>
    <numFmt numFmtId="169" formatCode="dd\ mmm\ yy"/>
    <numFmt numFmtId="170" formatCode="\+0%;\-0%;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B3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E8EEF9"/>
        <bgColor rgb="FFEDEDED"/>
      </patternFill>
    </fill>
    <fill>
      <patternFill patternType="solid">
        <fgColor rgb="FFEAF5EA"/>
        <bgColor rgb="FFE9F5F7"/>
      </patternFill>
    </fill>
    <fill>
      <patternFill patternType="solid">
        <fgColor rgb="FFFDF1E3"/>
        <bgColor rgb="FFFBE9EC"/>
      </patternFill>
    </fill>
    <fill>
      <patternFill patternType="solid">
        <fgColor rgb="FFF1EAF8"/>
        <bgColor rgb="FFEDEDED"/>
      </patternFill>
    </fill>
    <fill>
      <patternFill patternType="solid">
        <fgColor rgb="FFFBE9EC"/>
        <bgColor rgb="FFF1EAF8"/>
      </patternFill>
    </fill>
    <fill>
      <patternFill patternType="solid">
        <fgColor rgb="FFE9F5F7"/>
        <bgColor rgb="FFEAF5EA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1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E08A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2EFDA"/>
      <rgbColor rgb="FF808080"/>
      <rgbColor rgb="FFEDEDED"/>
      <rgbColor rgb="FF993366"/>
      <rgbColor rgb="FFFFF2CC"/>
      <rgbColor rgb="FFE9F5F7"/>
      <rgbColor rgb="FF660066"/>
      <rgbColor rgb="FFF2F2F2"/>
      <rgbColor rgb="FF0066CC"/>
      <rgbColor rgb="FFD0D0D0"/>
      <rgbColor rgb="FF000080"/>
      <rgbColor rgb="FFFF00FF"/>
      <rgbColor rgb="FFFDF1E3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2B3"/>
      <rgbColor rgb="FFE8EEF9"/>
      <rgbColor rgb="FFFBE9EC"/>
      <rgbColor rgb="FFF1EAF8"/>
      <rgbColor rgb="FFF8CBAD"/>
      <rgbColor rgb="FF3366FF"/>
      <rgbColor rgb="FF33CCCC"/>
      <rgbColor rgb="FF99CC00"/>
      <rgbColor rgb="FFFFE08A"/>
      <rgbColor rgb="FFFF9900"/>
      <rgbColor rgb="FFFF6600"/>
      <rgbColor rgb="FF666666"/>
      <rgbColor rgb="FFEAF5EA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0" t="s">
        <v>2</v>
      </c>
      <c r="C5" s="3" t="n">
        <v>46307</v>
      </c>
      <c r="D5" s="2" t="s">
        <v>3</v>
      </c>
    </row>
    <row r="6" customFormat="false" ht="15" hidden="false" customHeight="false" outlineLevel="0" collapsed="false">
      <c r="B6" s="0" t="s">
        <v>4</v>
      </c>
      <c r="C6" s="4"/>
      <c r="D6" s="2" t="s">
        <v>5</v>
      </c>
    </row>
    <row r="7" customFormat="false" ht="15" hidden="false" customHeight="false" outlineLevel="0" collapsed="false">
      <c r="B7" s="5" t="s">
        <v>6</v>
      </c>
    </row>
    <row r="8" customFormat="false" ht="15" hidden="false" customHeight="false" outlineLevel="0" collapsed="false">
      <c r="B8" s="6" t="s">
        <v>7</v>
      </c>
      <c r="C8" s="7" t="n">
        <f aca="true">IF(C6&lt;&gt;"",C6,MAX(1,INT((TODAY()-C5)/7)+1))</f>
        <v>1</v>
      </c>
    </row>
    <row r="9" customFormat="false" ht="15" hidden="false" customHeight="false" outlineLevel="0" collapsed="false">
      <c r="B9" s="6" t="s">
        <v>8</v>
      </c>
      <c r="C9" s="7" t="str">
        <f aca="false">IFERROR(INDEX(Plan!$C$2:$C$32,MATCH($C$8,Plan!$A$2:$A$32,0)),"Beyond plan: extend Plan")</f>
        <v>Ramp</v>
      </c>
    </row>
    <row r="10" customFormat="false" ht="15" hidden="false" customHeight="false" outlineLevel="0" collapsed="false">
      <c r="B10" s="6" t="s">
        <v>9</v>
      </c>
      <c r="C10" s="7" t="n">
        <f aca="false">IFERROR(INDEX(Plan!$D$2:$D$32,MATCH($C$8,Plan!$A$2:$A$32,0)),"")</f>
        <v>1</v>
      </c>
    </row>
    <row r="11" customFormat="false" ht="15" hidden="false" customHeight="false" outlineLevel="0" collapsed="false">
      <c r="B11" s="6" t="s">
        <v>10</v>
      </c>
      <c r="C11" s="7" t="str">
        <f aca="false">IFERROR(INDEX(Plan!$K$2:$K$32,MATCH($C$8,Plan!$A$2:$A$32,0)),"")</f>
        <v>A</v>
      </c>
    </row>
    <row r="12" customFormat="false" ht="15" hidden="false" customHeight="false" outlineLevel="0" collapsed="false">
      <c r="B12" s="6" t="s">
        <v>11</v>
      </c>
      <c r="C12" s="7" t="str">
        <f aca="false">IFERROR(INDEX(Plan!$G$2:$G$32,MATCH($C$8,Plan!$A$2:$A$32,0))&amp;" reps @RPE "&amp;INDEX(Plan!$H$2:$H$32,MATCH($C$8,Plan!$A$2:$A$32,0)),"")</f>
        <v>5 reps @RPE 6</v>
      </c>
    </row>
    <row r="13" customFormat="false" ht="15" hidden="false" customHeight="false" outlineLevel="0" collapsed="false">
      <c r="B13" s="6" t="s">
        <v>12</v>
      </c>
      <c r="C13" s="8" t="n">
        <f aca="false">IFERROR(INDEX(Plan!$E$2:$E$32,MATCH($C$8,Plan!$A$2:$A$32,0)),"")</f>
        <v>0.5</v>
      </c>
    </row>
    <row r="14" customFormat="false" ht="15" hidden="false" customHeight="false" outlineLevel="0" collapsed="false">
      <c r="B14" s="6" t="s">
        <v>13</v>
      </c>
      <c r="C14" s="7" t="n">
        <f aca="false">IFERROR(INDEX(Plan!$F$2:$F$32,MATCH($C$8,Plan!$A$2:$A$32,0)),"")</f>
        <v>6</v>
      </c>
    </row>
    <row r="15" customFormat="false" ht="15" hidden="false" customHeight="false" outlineLevel="0" collapsed="false">
      <c r="B15" s="6" t="s">
        <v>14</v>
      </c>
      <c r="C15" s="7" t="str">
        <f aca="false">IFERROR(INDEX(Plan!$J$2:$J$32,MATCH($C$8,Plan!$A$2:$A$32,0))&amp;" at "&amp;TEXT(INDEX(Plan!$I$2:$I$32,MATCH($C$8,Plan!$A$2:$A$32,0)),"0%")&amp;" below the top set","")</f>
        <v>3 × 5 at 10% below the top set</v>
      </c>
    </row>
    <row r="16" customFormat="false" ht="27.75" hidden="false" customHeight="true" outlineLevel="0" collapsed="false">
      <c r="B16" s="6" t="s">
        <v>15</v>
      </c>
      <c r="C16" s="9" t="str">
        <f aca="false">IFERROR(INDEX(Plan!$L$2:$L$32,MATCH($C$8,Plan!$A$2:$A$32,0))&amp;"","")</f>
        <v>Re-learn the lifts. New risky work: 1 set (see Entry ramps).</v>
      </c>
      <c r="D16" s="9"/>
      <c r="E16" s="9"/>
      <c r="F16" s="9"/>
      <c r="G16" s="9"/>
      <c r="H16" s="9"/>
    </row>
    <row r="17" customFormat="false" ht="15" hidden="false" customHeight="false" outlineLevel="0" collapsed="false">
      <c r="B17" s="6" t="s">
        <v>16</v>
      </c>
      <c r="C17" s="7" t="str">
        <f aca="false">IF(LEFT(C9,5)="Block",IF(ISODD(VALUE(RIGHT(C9,1))),"Odd-block list","Even-block list"),"Odd-block list")</f>
        <v>Odd-block list</v>
      </c>
    </row>
    <row r="19" customFormat="false" ht="15" hidden="false" customHeight="false" outlineLevel="0" collapsed="false">
      <c r="B19" s="5" t="s">
        <v>17</v>
      </c>
    </row>
    <row r="20" customFormat="false" ht="23.85" hidden="false" customHeight="false" outlineLevel="0" collapsed="false">
      <c r="B20" s="10" t="s">
        <v>18</v>
      </c>
      <c r="C20" s="10" t="s">
        <v>19</v>
      </c>
      <c r="D20" s="10" t="s">
        <v>20</v>
      </c>
      <c r="E20" s="10" t="s">
        <v>21</v>
      </c>
      <c r="F20" s="10" t="s">
        <v>22</v>
      </c>
      <c r="G20" s="10"/>
      <c r="H20" s="10" t="s">
        <v>23</v>
      </c>
    </row>
    <row r="21" customFormat="false" ht="15" hidden="false" customHeight="false" outlineLevel="0" collapsed="false">
      <c r="B21" s="11" t="s">
        <v>24</v>
      </c>
      <c r="C21" s="12" t="s">
        <v>25</v>
      </c>
      <c r="D21" s="11" t="n">
        <f aca="false">SUMIFS(Program!$F$2:$F$75,Program!$A$2:$A$75,"Mon")</f>
        <v>20</v>
      </c>
      <c r="E21" s="11" t="n">
        <f aca="false">SUMIFS(Program!$N$2:$N$75,Program!$A$2:$A$75,"Mon")</f>
        <v>12</v>
      </c>
      <c r="F21" s="11" t="s">
        <v>26</v>
      </c>
      <c r="G21" s="11"/>
      <c r="H21" s="12" t="s">
        <v>27</v>
      </c>
    </row>
    <row r="22" customFormat="false" ht="15" hidden="false" customHeight="false" outlineLevel="0" collapsed="false">
      <c r="B22" s="11" t="s">
        <v>28</v>
      </c>
      <c r="C22" s="12" t="s">
        <v>29</v>
      </c>
      <c r="D22" s="11" t="n">
        <f aca="false">SUMIFS(Program!$F$2:$F$75,Program!$A$2:$A$75,"Tue")</f>
        <v>22</v>
      </c>
      <c r="E22" s="11" t="n">
        <f aca="false">SUMIFS(Program!$N$2:$N$75,Program!$A$2:$A$75,"Tue")</f>
        <v>12</v>
      </c>
      <c r="F22" s="11" t="s">
        <v>26</v>
      </c>
      <c r="G22" s="11"/>
      <c r="H22" s="12"/>
    </row>
    <row r="23" customFormat="false" ht="15" hidden="false" customHeight="false" outlineLevel="0" collapsed="false">
      <c r="B23" s="11" t="s">
        <v>30</v>
      </c>
      <c r="C23" s="12" t="s">
        <v>31</v>
      </c>
      <c r="D23" s="11" t="n">
        <f aca="false">SUMIFS(Program!$F$2:$F$75,Program!$A$2:$A$75,"Wed")</f>
        <v>23</v>
      </c>
      <c r="E23" s="11" t="n">
        <f aca="false">SUMIFS(Program!$N$2:$N$75,Program!$A$2:$A$75,"Wed")</f>
        <v>12</v>
      </c>
      <c r="F23" s="11" t="s">
        <v>26</v>
      </c>
      <c r="G23" s="11"/>
      <c r="H23" s="12" t="s">
        <v>32</v>
      </c>
    </row>
    <row r="24" customFormat="false" ht="15" hidden="false" customHeight="false" outlineLevel="0" collapsed="false">
      <c r="B24" s="11" t="s">
        <v>33</v>
      </c>
      <c r="C24" s="12" t="s">
        <v>34</v>
      </c>
      <c r="D24" s="11" t="n">
        <f aca="false">SUMIFS(Program!$F$2:$F$75,Program!$A$2:$A$75,"Thu")</f>
        <v>22</v>
      </c>
      <c r="E24" s="11" t="n">
        <f aca="false">SUMIFS(Program!$N$2:$N$75,Program!$A$2:$A$75,"Thu")</f>
        <v>12</v>
      </c>
      <c r="F24" s="11" t="s">
        <v>26</v>
      </c>
      <c r="G24" s="11"/>
      <c r="H24" s="12"/>
    </row>
    <row r="25" customFormat="false" ht="15" hidden="false" customHeight="false" outlineLevel="0" collapsed="false">
      <c r="B25" s="11" t="s">
        <v>35</v>
      </c>
      <c r="C25" s="12" t="s">
        <v>36</v>
      </c>
      <c r="D25" s="11" t="n">
        <f aca="false">SUMIFS(Program!$F$2:$F$75,Program!$A$2:$A$75,"Fri")</f>
        <v>21</v>
      </c>
      <c r="E25" s="11" t="n">
        <f aca="false">SUMIFS(Program!$N$2:$N$75,Program!$A$2:$A$75,"Fri")</f>
        <v>12</v>
      </c>
      <c r="F25" s="11" t="s">
        <v>37</v>
      </c>
      <c r="G25" s="11"/>
      <c r="H25" s="12" t="s">
        <v>38</v>
      </c>
    </row>
    <row r="26" customFormat="false" ht="15" hidden="false" customHeight="false" outlineLevel="0" collapsed="false">
      <c r="B26" s="11" t="s">
        <v>39</v>
      </c>
      <c r="C26" s="12" t="s">
        <v>40</v>
      </c>
      <c r="D26" s="11" t="n">
        <f aca="false">SUMIFS(Program!$F$2:$F$75,Program!$A$2:$A$75,"Sat",Program!$B$2:$B$75,"All")+SUMIFS(Program!$F$2:$F$75,Program!$A$2:$A$75,"Sat",Program!$B$2:$B$75,"A")</f>
        <v>23</v>
      </c>
      <c r="E26" s="11" t="n">
        <f aca="false">SUMIFS(Program!$N$2:$N$75,Program!$A$2:$A$75,"Sat",Program!$B$2:$B$75,"All")+SUMIFS(Program!$N$2:$N$75,Program!$A$2:$A$75,"Sat",Program!$B$2:$B$75,"A")</f>
        <v>13</v>
      </c>
      <c r="F26" s="11" t="s">
        <v>37</v>
      </c>
      <c r="G26" s="11"/>
      <c r="H26" s="12" t="s">
        <v>41</v>
      </c>
    </row>
    <row r="27" customFormat="false" ht="15" hidden="false" customHeight="false" outlineLevel="0" collapsed="false">
      <c r="B27" s="11" t="s">
        <v>42</v>
      </c>
      <c r="C27" s="12" t="s">
        <v>43</v>
      </c>
      <c r="D27" s="11" t="n">
        <f aca="false">SUMIFS(Program!$F$2:$F$75,Program!$A$2:$A$75,"Sat",Program!$B$2:$B$75,"All")+SUMIFS(Program!$F$2:$F$75,Program!$A$2:$A$75,"Sat",Program!$B$2:$B$75,"B")</f>
        <v>23</v>
      </c>
      <c r="E27" s="11" t="n">
        <f aca="false">SUMIFS(Program!$N$2:$N$75,Program!$A$2:$A$75,"Sat",Program!$B$2:$B$75,"All")+SUMIFS(Program!$N$2:$N$75,Program!$A$2:$A$75,"Sat",Program!$B$2:$B$75,"B")</f>
        <v>13</v>
      </c>
      <c r="F27" s="11" t="s">
        <v>37</v>
      </c>
      <c r="G27" s="11"/>
      <c r="H27" s="12" t="s">
        <v>44</v>
      </c>
    </row>
    <row r="28" customFormat="false" ht="15" hidden="false" customHeight="false" outlineLevel="0" collapsed="false">
      <c r="B28" s="11" t="s">
        <v>45</v>
      </c>
      <c r="C28" s="12" t="s">
        <v>46</v>
      </c>
      <c r="D28" s="11" t="n">
        <f aca="false">SUMIFS(Program!$F$2:$F$75,Program!$A$2:$A$75,"Home")</f>
        <v>20</v>
      </c>
      <c r="E28" s="11" t="n">
        <f aca="false">SUMIFS(Program!$N$2:$N$75,Program!$A$2:$A$75,"Home")</f>
        <v>20</v>
      </c>
      <c r="F28" s="11" t="s">
        <v>47</v>
      </c>
      <c r="G28" s="11"/>
      <c r="H28" s="12" t="s">
        <v>48</v>
      </c>
    </row>
    <row r="29" customFormat="false" ht="15" hidden="false" customHeight="false" outlineLevel="0" collapsed="false">
      <c r="B29" s="13" t="s">
        <v>49</v>
      </c>
      <c r="D29" s="14" t="n">
        <f aca="false">SUM(D21:D25)+D26</f>
        <v>131</v>
      </c>
      <c r="E29" s="14" t="n">
        <f aca="false">SUM(E21:E25)+IF(C11="B",E27,E26)</f>
        <v>73</v>
      </c>
    </row>
    <row r="30" customFormat="false" ht="15" hidden="false" customHeight="false" outlineLevel="0" collapsed="false">
      <c r="B30" s="2" t="s">
        <v>50</v>
      </c>
    </row>
    <row r="32" customFormat="false" ht="15" hidden="false" customHeight="false" outlineLevel="0" collapsed="false">
      <c r="B32" s="5" t="s">
        <v>51</v>
      </c>
    </row>
    <row r="33" customFormat="false" ht="27.75" hidden="false" customHeight="true" outlineLevel="0" collapsed="false">
      <c r="B33" s="15" t="s">
        <v>52</v>
      </c>
      <c r="C33" s="15"/>
      <c r="D33" s="15"/>
      <c r="E33" s="15"/>
      <c r="F33" s="15"/>
      <c r="G33" s="15"/>
      <c r="H33" s="15"/>
    </row>
    <row r="34" customFormat="false" ht="27.75" hidden="false" customHeight="true" outlineLevel="0" collapsed="false">
      <c r="B34" s="15" t="s">
        <v>53</v>
      </c>
      <c r="C34" s="15"/>
      <c r="D34" s="15"/>
      <c r="E34" s="15"/>
      <c r="F34" s="15"/>
      <c r="G34" s="15"/>
      <c r="H34" s="15"/>
    </row>
    <row r="35" customFormat="false" ht="27.75" hidden="false" customHeight="true" outlineLevel="0" collapsed="false">
      <c r="B35" s="15" t="s">
        <v>54</v>
      </c>
      <c r="C35" s="15"/>
      <c r="D35" s="15"/>
      <c r="E35" s="15"/>
      <c r="F35" s="15"/>
      <c r="G35" s="15"/>
      <c r="H35" s="15"/>
    </row>
    <row r="36" customFormat="false" ht="27.75" hidden="false" customHeight="true" outlineLevel="0" collapsed="false">
      <c r="B36" s="15" t="s">
        <v>55</v>
      </c>
      <c r="C36" s="15"/>
      <c r="D36" s="15"/>
      <c r="E36" s="15"/>
      <c r="F36" s="15"/>
      <c r="G36" s="15"/>
      <c r="H36" s="15"/>
    </row>
    <row r="37" customFormat="false" ht="27.75" hidden="false" customHeight="true" outlineLevel="0" collapsed="false">
      <c r="B37" s="15" t="s">
        <v>56</v>
      </c>
      <c r="C37" s="15"/>
      <c r="D37" s="15"/>
      <c r="E37" s="15"/>
      <c r="F37" s="15"/>
      <c r="G37" s="15"/>
      <c r="H37" s="15"/>
    </row>
    <row r="38" customFormat="false" ht="27.75" hidden="false" customHeight="true" outlineLevel="0" collapsed="false">
      <c r="B38" s="15" t="s">
        <v>57</v>
      </c>
      <c r="C38" s="15"/>
      <c r="D38" s="15"/>
      <c r="E38" s="15"/>
      <c r="F38" s="15"/>
      <c r="G38" s="15"/>
      <c r="H38" s="15"/>
    </row>
    <row r="39" customFormat="false" ht="27.75" hidden="false" customHeight="true" outlineLevel="0" collapsed="false">
      <c r="B39" s="15" t="s">
        <v>58</v>
      </c>
      <c r="C39" s="15"/>
      <c r="D39" s="15"/>
      <c r="E39" s="15"/>
      <c r="F39" s="15"/>
      <c r="G39" s="15"/>
      <c r="H39" s="15"/>
    </row>
    <row r="41" customFormat="false" ht="15" hidden="false" customHeight="false" outlineLevel="0" collapsed="false">
      <c r="B41" s="5" t="s">
        <v>59</v>
      </c>
    </row>
    <row r="42" customFormat="false" ht="42" hidden="false" customHeight="true" outlineLevel="0" collapsed="false">
      <c r="B42" s="16" t="s">
        <v>60</v>
      </c>
      <c r="C42" s="15" t="s">
        <v>61</v>
      </c>
      <c r="D42" s="15"/>
      <c r="E42" s="15"/>
      <c r="F42" s="15"/>
      <c r="G42" s="15"/>
      <c r="H42" s="15"/>
    </row>
    <row r="43" customFormat="false" ht="42" hidden="false" customHeight="true" outlineLevel="0" collapsed="false">
      <c r="B43" s="16" t="s">
        <v>62</v>
      </c>
      <c r="C43" s="15" t="s">
        <v>63</v>
      </c>
      <c r="D43" s="15"/>
      <c r="E43" s="15"/>
      <c r="F43" s="15"/>
      <c r="G43" s="15"/>
      <c r="H43" s="15"/>
    </row>
    <row r="44" customFormat="false" ht="42" hidden="false" customHeight="true" outlineLevel="0" collapsed="false">
      <c r="B44" s="16" t="s">
        <v>64</v>
      </c>
      <c r="C44" s="15" t="s">
        <v>65</v>
      </c>
      <c r="D44" s="15"/>
      <c r="E44" s="15"/>
      <c r="F44" s="15"/>
      <c r="G44" s="15"/>
      <c r="H44" s="15"/>
    </row>
    <row r="45" customFormat="false" ht="42" hidden="false" customHeight="true" outlineLevel="0" collapsed="false">
      <c r="B45" s="16" t="s">
        <v>66</v>
      </c>
      <c r="C45" s="15" t="s">
        <v>67</v>
      </c>
      <c r="D45" s="15"/>
      <c r="E45" s="15"/>
      <c r="F45" s="15"/>
      <c r="G45" s="15"/>
      <c r="H45" s="15"/>
    </row>
    <row r="46" customFormat="false" ht="42" hidden="false" customHeight="true" outlineLevel="0" collapsed="false">
      <c r="B46" s="16" t="s">
        <v>68</v>
      </c>
      <c r="C46" s="15" t="s">
        <v>69</v>
      </c>
      <c r="D46" s="15"/>
      <c r="E46" s="15"/>
      <c r="F46" s="15"/>
      <c r="G46" s="15"/>
      <c r="H46" s="15"/>
    </row>
    <row r="47" customFormat="false" ht="42" hidden="false" customHeight="true" outlineLevel="0" collapsed="false">
      <c r="B47" s="16" t="s">
        <v>70</v>
      </c>
      <c r="C47" s="15" t="s">
        <v>71</v>
      </c>
      <c r="D47" s="15"/>
      <c r="E47" s="15"/>
      <c r="F47" s="15"/>
      <c r="G47" s="15"/>
      <c r="H47" s="15"/>
    </row>
    <row r="48" customFormat="false" ht="42" hidden="false" customHeight="true" outlineLevel="0" collapsed="false">
      <c r="B48" s="16" t="s">
        <v>72</v>
      </c>
      <c r="C48" s="15" t="s">
        <v>73</v>
      </c>
      <c r="D48" s="15"/>
      <c r="E48" s="15"/>
      <c r="F48" s="15"/>
      <c r="G48" s="15"/>
      <c r="H48" s="15"/>
    </row>
    <row r="49" customFormat="false" ht="42" hidden="false" customHeight="true" outlineLevel="0" collapsed="false">
      <c r="B49" s="16" t="s">
        <v>74</v>
      </c>
      <c r="C49" s="15" t="s">
        <v>75</v>
      </c>
      <c r="D49" s="15"/>
      <c r="E49" s="15"/>
      <c r="F49" s="15"/>
      <c r="G49" s="15"/>
      <c r="H49" s="15"/>
    </row>
    <row r="50" customFormat="false" ht="42" hidden="false" customHeight="true" outlineLevel="0" collapsed="false">
      <c r="B50" s="16" t="s">
        <v>76</v>
      </c>
      <c r="C50" s="15" t="s">
        <v>77</v>
      </c>
      <c r="D50" s="15"/>
      <c r="E50" s="15"/>
      <c r="F50" s="15"/>
      <c r="G50" s="15"/>
      <c r="H50" s="15"/>
    </row>
    <row r="51" customFormat="false" ht="42" hidden="false" customHeight="true" outlineLevel="0" collapsed="false">
      <c r="B51" s="16" t="s">
        <v>78</v>
      </c>
      <c r="C51" s="15" t="s">
        <v>79</v>
      </c>
      <c r="D51" s="15"/>
      <c r="E51" s="15"/>
      <c r="F51" s="15"/>
      <c r="G51" s="15"/>
      <c r="H51" s="15"/>
    </row>
  </sheetData>
  <mergeCells count="18">
    <mergeCell ref="C16:H16"/>
    <mergeCell ref="B33:H33"/>
    <mergeCell ref="B34:H34"/>
    <mergeCell ref="B35:H35"/>
    <mergeCell ref="B36:H36"/>
    <mergeCell ref="B37:H37"/>
    <mergeCell ref="B38:H38"/>
    <mergeCell ref="B39:H39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4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9" min="8" style="0" width="7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0"/>
    <col collapsed="false" customWidth="true" hidden="false" outlineLevel="0" max="14" min="13" style="0" width="8"/>
    <col collapsed="false" customWidth="true" hidden="false" outlineLevel="0" max="15" min="15" style="0" width="48"/>
  </cols>
  <sheetData>
    <row r="1" customFormat="false" ht="30" hidden="false" customHeight="true" outlineLevel="0" collapsed="false">
      <c r="A1" s="17" t="s">
        <v>18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20</v>
      </c>
      <c r="G1" s="17" t="s">
        <v>84</v>
      </c>
      <c r="H1" s="17" t="s">
        <v>85</v>
      </c>
      <c r="I1" s="17" t="s">
        <v>86</v>
      </c>
      <c r="J1" s="17" t="s">
        <v>87</v>
      </c>
      <c r="K1" s="17" t="s">
        <v>88</v>
      </c>
      <c r="L1" s="17" t="s">
        <v>89</v>
      </c>
      <c r="M1" s="17" t="s">
        <v>90</v>
      </c>
      <c r="N1" s="17" t="s">
        <v>21</v>
      </c>
      <c r="O1" s="17" t="s">
        <v>91</v>
      </c>
    </row>
    <row r="2" customFormat="false" ht="23.85" hidden="false" customHeight="false" outlineLevel="0" collapsed="false">
      <c r="A2" s="18" t="s">
        <v>24</v>
      </c>
      <c r="B2" s="18" t="s">
        <v>92</v>
      </c>
      <c r="C2" s="19" t="n">
        <v>1</v>
      </c>
      <c r="D2" s="18" t="s">
        <v>93</v>
      </c>
      <c r="E2" s="18" t="s">
        <v>94</v>
      </c>
      <c r="F2" s="19" t="n">
        <v>4</v>
      </c>
      <c r="G2" s="18" t="s">
        <v>95</v>
      </c>
      <c r="H2" s="19"/>
      <c r="I2" s="19"/>
      <c r="J2" s="18" t="s">
        <v>96</v>
      </c>
      <c r="K2" s="18" t="s">
        <v>97</v>
      </c>
      <c r="L2" s="20"/>
      <c r="M2" s="19" t="n">
        <f aca="false">IF(UPPER(L2)="Y",F2+2,F2)</f>
        <v>4</v>
      </c>
      <c r="N2" s="19" t="n">
        <f aca="false">IF(A2="Home",M2,IF('Start here'!$C$13="",M2,MAX(1,ROUND(M2*'Start here'!$C$13,0))))</f>
        <v>2</v>
      </c>
      <c r="O2" s="18" t="s">
        <v>98</v>
      </c>
    </row>
    <row r="3" customFormat="false" ht="15" hidden="false" customHeight="false" outlineLevel="0" collapsed="false">
      <c r="A3" s="18" t="s">
        <v>24</v>
      </c>
      <c r="B3" s="18" t="s">
        <v>92</v>
      </c>
      <c r="C3" s="19" t="n">
        <v>2</v>
      </c>
      <c r="D3" s="18" t="s">
        <v>99</v>
      </c>
      <c r="E3" s="18" t="s">
        <v>100</v>
      </c>
      <c r="F3" s="19" t="n">
        <v>3</v>
      </c>
      <c r="G3" s="18" t="s">
        <v>101</v>
      </c>
      <c r="H3" s="19" t="n">
        <v>8</v>
      </c>
      <c r="I3" s="19" t="n">
        <v>12</v>
      </c>
      <c r="J3" s="18" t="s">
        <v>102</v>
      </c>
      <c r="K3" s="18" t="s">
        <v>103</v>
      </c>
      <c r="L3" s="20"/>
      <c r="M3" s="19" t="n">
        <f aca="false">IF(UPPER(L3)="Y",F3+2,F3)</f>
        <v>3</v>
      </c>
      <c r="N3" s="19" t="n">
        <f aca="false">IF(A3="Home",M3,IF('Start here'!$C$13="",M3,MAX(1,ROUND(M3*'Start here'!$C$13,0))))</f>
        <v>2</v>
      </c>
      <c r="O3" s="18"/>
    </row>
    <row r="4" customFormat="false" ht="15" hidden="false" customHeight="false" outlineLevel="0" collapsed="false">
      <c r="A4" s="18" t="s">
        <v>24</v>
      </c>
      <c r="B4" s="18" t="s">
        <v>92</v>
      </c>
      <c r="C4" s="19" t="n">
        <v>3</v>
      </c>
      <c r="D4" s="18" t="s">
        <v>104</v>
      </c>
      <c r="E4" s="18" t="s">
        <v>105</v>
      </c>
      <c r="F4" s="19" t="n">
        <v>3</v>
      </c>
      <c r="G4" s="18" t="s">
        <v>106</v>
      </c>
      <c r="H4" s="19" t="n">
        <v>12</v>
      </c>
      <c r="I4" s="19" t="n">
        <v>15</v>
      </c>
      <c r="J4" s="18" t="s">
        <v>102</v>
      </c>
      <c r="K4" s="18" t="s">
        <v>103</v>
      </c>
      <c r="L4" s="20"/>
      <c r="M4" s="19" t="n">
        <f aca="false">IF(UPPER(L4)="Y",F4+2,F4)</f>
        <v>3</v>
      </c>
      <c r="N4" s="19" t="n">
        <f aca="false">IF(A4="Home",M4,IF('Start here'!$C$13="",M4,MAX(1,ROUND(M4*'Start here'!$C$13,0))))</f>
        <v>2</v>
      </c>
      <c r="O4" s="18" t="s">
        <v>107</v>
      </c>
    </row>
    <row r="5" customFormat="false" ht="23.85" hidden="false" customHeight="false" outlineLevel="0" collapsed="false">
      <c r="A5" s="18" t="s">
        <v>24</v>
      </c>
      <c r="B5" s="18" t="s">
        <v>92</v>
      </c>
      <c r="C5" s="19" t="n">
        <v>4</v>
      </c>
      <c r="D5" s="18" t="s">
        <v>108</v>
      </c>
      <c r="E5" s="18" t="s">
        <v>109</v>
      </c>
      <c r="F5" s="19" t="n">
        <v>2</v>
      </c>
      <c r="G5" s="18" t="s">
        <v>110</v>
      </c>
      <c r="H5" s="19" t="n">
        <v>12</v>
      </c>
      <c r="I5" s="19" t="n">
        <v>20</v>
      </c>
      <c r="J5" s="18" t="s">
        <v>111</v>
      </c>
      <c r="K5" s="18" t="s">
        <v>103</v>
      </c>
      <c r="L5" s="20"/>
      <c r="M5" s="19" t="n">
        <f aca="false">IF(UPPER(L5)="Y",F5+2,F5)</f>
        <v>2</v>
      </c>
      <c r="N5" s="19" t="n">
        <f aca="false">IF(A5="Home",M5,IF('Start here'!$C$13="",M5,MAX(1,ROUND(M5*'Start here'!$C$13,0))))</f>
        <v>1</v>
      </c>
      <c r="O5" s="18" t="s">
        <v>112</v>
      </c>
    </row>
    <row r="6" customFormat="false" ht="23.85" hidden="false" customHeight="false" outlineLevel="0" collapsed="false">
      <c r="A6" s="18" t="s">
        <v>24</v>
      </c>
      <c r="B6" s="18" t="s">
        <v>92</v>
      </c>
      <c r="C6" s="19" t="n">
        <v>5</v>
      </c>
      <c r="D6" s="18" t="s">
        <v>113</v>
      </c>
      <c r="E6" s="18" t="s">
        <v>114</v>
      </c>
      <c r="F6" s="19" t="n">
        <v>3</v>
      </c>
      <c r="G6" s="18" t="s">
        <v>115</v>
      </c>
      <c r="H6" s="19" t="n">
        <v>6</v>
      </c>
      <c r="I6" s="19" t="n">
        <v>12</v>
      </c>
      <c r="J6" s="18" t="s">
        <v>111</v>
      </c>
      <c r="K6" s="18" t="s">
        <v>103</v>
      </c>
      <c r="L6" s="20"/>
      <c r="M6" s="19" t="n">
        <f aca="false">IF(UPPER(L6)="Y",F6+2,F6)</f>
        <v>3</v>
      </c>
      <c r="N6" s="19" t="n">
        <f aca="false">IF(A6="Home",M6,IF('Start here'!$C$13="",M6,MAX(1,ROUND(M6*'Start here'!$C$13,0))))</f>
        <v>2</v>
      </c>
      <c r="O6" s="18" t="s">
        <v>116</v>
      </c>
    </row>
    <row r="7" customFormat="false" ht="23.85" hidden="false" customHeight="false" outlineLevel="0" collapsed="false">
      <c r="A7" s="18" t="s">
        <v>24</v>
      </c>
      <c r="B7" s="18" t="s">
        <v>92</v>
      </c>
      <c r="C7" s="19" t="n">
        <v>6</v>
      </c>
      <c r="D7" s="18" t="s">
        <v>117</v>
      </c>
      <c r="E7" s="18" t="s">
        <v>118</v>
      </c>
      <c r="F7" s="19" t="n">
        <v>3</v>
      </c>
      <c r="G7" s="18" t="s">
        <v>119</v>
      </c>
      <c r="H7" s="19" t="n">
        <v>6</v>
      </c>
      <c r="I7" s="19" t="n">
        <v>10</v>
      </c>
      <c r="J7" s="18" t="s">
        <v>111</v>
      </c>
      <c r="K7" s="18" t="s">
        <v>120</v>
      </c>
      <c r="L7" s="20"/>
      <c r="M7" s="19" t="n">
        <f aca="false">IF(UPPER(L7)="Y",F7+2,F7)</f>
        <v>3</v>
      </c>
      <c r="N7" s="19" t="n">
        <f aca="false">IF(A7="Home",M7,IF('Start here'!$C$13="",M7,MAX(1,ROUND(M7*'Start here'!$C$13,0))))</f>
        <v>2</v>
      </c>
      <c r="O7" s="18" t="s">
        <v>121</v>
      </c>
    </row>
    <row r="8" customFormat="false" ht="15" hidden="false" customHeight="false" outlineLevel="0" collapsed="false">
      <c r="A8" s="18" t="s">
        <v>24</v>
      </c>
      <c r="B8" s="18" t="s">
        <v>92</v>
      </c>
      <c r="C8" s="19" t="n">
        <v>7</v>
      </c>
      <c r="D8" s="18" t="s">
        <v>122</v>
      </c>
      <c r="E8" s="18" t="s">
        <v>123</v>
      </c>
      <c r="F8" s="19" t="n">
        <v>2</v>
      </c>
      <c r="G8" s="18" t="s">
        <v>124</v>
      </c>
      <c r="H8" s="19" t="n">
        <v>10</v>
      </c>
      <c r="I8" s="19" t="n">
        <v>15</v>
      </c>
      <c r="J8" s="18" t="s">
        <v>102</v>
      </c>
      <c r="K8" s="18" t="s">
        <v>103</v>
      </c>
      <c r="L8" s="20"/>
      <c r="M8" s="19" t="n">
        <f aca="false">IF(UPPER(L8)="Y",F8+2,F8)</f>
        <v>2</v>
      </c>
      <c r="N8" s="19" t="n">
        <f aca="false">IF(A8="Home",M8,IF('Start here'!$C$13="",M8,MAX(1,ROUND(M8*'Start here'!$C$13,0))))</f>
        <v>1</v>
      </c>
      <c r="O8" s="18"/>
    </row>
    <row r="9" customFormat="false" ht="23.85" hidden="false" customHeight="false" outlineLevel="0" collapsed="false">
      <c r="A9" s="21" t="s">
        <v>28</v>
      </c>
      <c r="B9" s="21" t="s">
        <v>92</v>
      </c>
      <c r="C9" s="22" t="n">
        <v>1</v>
      </c>
      <c r="D9" s="21" t="s">
        <v>125</v>
      </c>
      <c r="E9" s="21" t="s">
        <v>126</v>
      </c>
      <c r="F9" s="22" t="n">
        <v>4</v>
      </c>
      <c r="G9" s="21" t="s">
        <v>95</v>
      </c>
      <c r="H9" s="22"/>
      <c r="I9" s="22"/>
      <c r="J9" s="21" t="s">
        <v>127</v>
      </c>
      <c r="K9" s="21" t="s">
        <v>97</v>
      </c>
      <c r="L9" s="20"/>
      <c r="M9" s="22" t="n">
        <f aca="false">IF(UPPER(L9)="Y",F9+2,F9)</f>
        <v>4</v>
      </c>
      <c r="N9" s="22" t="n">
        <f aca="false">IF(A9="Home",M9,IF('Start here'!$C$13="",M9,MAX(1,ROUND(M9*'Start here'!$C$13,0))))</f>
        <v>2</v>
      </c>
      <c r="O9" s="21" t="s">
        <v>128</v>
      </c>
    </row>
    <row r="10" customFormat="false" ht="15" hidden="false" customHeight="false" outlineLevel="0" collapsed="false">
      <c r="A10" s="21" t="s">
        <v>28</v>
      </c>
      <c r="B10" s="21" t="s">
        <v>92</v>
      </c>
      <c r="C10" s="22" t="n">
        <v>2</v>
      </c>
      <c r="D10" s="21" t="s">
        <v>129</v>
      </c>
      <c r="E10" s="21" t="s">
        <v>130</v>
      </c>
      <c r="F10" s="22" t="n">
        <v>4</v>
      </c>
      <c r="G10" s="21" t="s">
        <v>131</v>
      </c>
      <c r="H10" s="22" t="n">
        <v>6</v>
      </c>
      <c r="I10" s="22" t="n">
        <v>8</v>
      </c>
      <c r="J10" s="21" t="s">
        <v>102</v>
      </c>
      <c r="K10" s="21" t="s">
        <v>103</v>
      </c>
      <c r="L10" s="20"/>
      <c r="M10" s="22" t="n">
        <f aca="false">IF(UPPER(L10)="Y",F10+2,F10)</f>
        <v>4</v>
      </c>
      <c r="N10" s="22" t="n">
        <f aca="false">IF(A10="Home",M10,IF('Start here'!$C$13="",M10,MAX(1,ROUND(M10*'Start here'!$C$13,0))))</f>
        <v>2</v>
      </c>
      <c r="O10" s="21" t="s">
        <v>132</v>
      </c>
    </row>
    <row r="11" customFormat="false" ht="15" hidden="false" customHeight="false" outlineLevel="0" collapsed="false">
      <c r="A11" s="21" t="s">
        <v>28</v>
      </c>
      <c r="B11" s="21" t="s">
        <v>92</v>
      </c>
      <c r="C11" s="22" t="n">
        <v>3</v>
      </c>
      <c r="D11" s="21" t="s">
        <v>133</v>
      </c>
      <c r="E11" s="21" t="s">
        <v>134</v>
      </c>
      <c r="F11" s="22" t="n">
        <v>3</v>
      </c>
      <c r="G11" s="21" t="s">
        <v>131</v>
      </c>
      <c r="H11" s="22" t="n">
        <v>6</v>
      </c>
      <c r="I11" s="22" t="n">
        <v>8</v>
      </c>
      <c r="J11" s="21" t="s">
        <v>111</v>
      </c>
      <c r="K11" s="21" t="s">
        <v>103</v>
      </c>
      <c r="L11" s="20"/>
      <c r="M11" s="22" t="n">
        <f aca="false">IF(UPPER(L11)="Y",F11+2,F11)</f>
        <v>3</v>
      </c>
      <c r="N11" s="22" t="n">
        <f aca="false">IF(A11="Home",M11,IF('Start here'!$C$13="",M11,MAX(1,ROUND(M11*'Start here'!$C$13,0))))</f>
        <v>2</v>
      </c>
      <c r="O11" s="21"/>
    </row>
    <row r="12" customFormat="false" ht="23.85" hidden="false" customHeight="false" outlineLevel="0" collapsed="false">
      <c r="A12" s="21" t="s">
        <v>28</v>
      </c>
      <c r="B12" s="21" t="s">
        <v>92</v>
      </c>
      <c r="C12" s="22" t="n">
        <v>4</v>
      </c>
      <c r="D12" s="21" t="s">
        <v>135</v>
      </c>
      <c r="E12" s="21" t="s">
        <v>136</v>
      </c>
      <c r="F12" s="22" t="n">
        <v>3</v>
      </c>
      <c r="G12" s="21" t="s">
        <v>119</v>
      </c>
      <c r="H12" s="22" t="n">
        <v>6</v>
      </c>
      <c r="I12" s="22" t="n">
        <v>10</v>
      </c>
      <c r="J12" s="21" t="s">
        <v>111</v>
      </c>
      <c r="K12" s="21" t="s">
        <v>137</v>
      </c>
      <c r="L12" s="20"/>
      <c r="M12" s="22" t="n">
        <f aca="false">IF(UPPER(L12)="Y",F12+2,F12)</f>
        <v>3</v>
      </c>
      <c r="N12" s="22" t="n">
        <f aca="false">IF(A12="Home",M12,IF('Start here'!$C$13="",M12,MAX(1,ROUND(M12*'Start here'!$C$13,0))))</f>
        <v>2</v>
      </c>
      <c r="O12" s="21" t="s">
        <v>138</v>
      </c>
    </row>
    <row r="13" customFormat="false" ht="23.85" hidden="false" customHeight="false" outlineLevel="0" collapsed="false">
      <c r="A13" s="21" t="s">
        <v>28</v>
      </c>
      <c r="B13" s="21" t="s">
        <v>92</v>
      </c>
      <c r="C13" s="22" t="n">
        <v>5</v>
      </c>
      <c r="D13" s="21" t="s">
        <v>139</v>
      </c>
      <c r="E13" s="21" t="s">
        <v>140</v>
      </c>
      <c r="F13" s="22" t="n">
        <v>2</v>
      </c>
      <c r="G13" s="21" t="s">
        <v>106</v>
      </c>
      <c r="H13" s="22" t="n">
        <v>12</v>
      </c>
      <c r="I13" s="22" t="n">
        <v>15</v>
      </c>
      <c r="J13" s="21" t="s">
        <v>102</v>
      </c>
      <c r="K13" s="21" t="s">
        <v>103</v>
      </c>
      <c r="L13" s="20"/>
      <c r="M13" s="22" t="n">
        <f aca="false">IF(UPPER(L13)="Y",F13+2,F13)</f>
        <v>2</v>
      </c>
      <c r="N13" s="22" t="n">
        <f aca="false">IF(A13="Home",M13,IF('Start here'!$C$13="",M13,MAX(1,ROUND(M13*'Start here'!$C$13,0))))</f>
        <v>1</v>
      </c>
      <c r="O13" s="21"/>
    </row>
    <row r="14" customFormat="false" ht="23.85" hidden="false" customHeight="false" outlineLevel="0" collapsed="false">
      <c r="A14" s="21" t="s">
        <v>28</v>
      </c>
      <c r="B14" s="21" t="s">
        <v>92</v>
      </c>
      <c r="C14" s="22" t="n">
        <v>6</v>
      </c>
      <c r="D14" s="21" t="s">
        <v>141</v>
      </c>
      <c r="E14" s="21" t="s">
        <v>142</v>
      </c>
      <c r="F14" s="22" t="n">
        <v>2</v>
      </c>
      <c r="G14" s="21" t="s">
        <v>101</v>
      </c>
      <c r="H14" s="22" t="n">
        <v>8</v>
      </c>
      <c r="I14" s="22" t="n">
        <v>12</v>
      </c>
      <c r="J14" s="21" t="s">
        <v>102</v>
      </c>
      <c r="K14" s="21" t="s">
        <v>103</v>
      </c>
      <c r="L14" s="20"/>
      <c r="M14" s="22" t="n">
        <f aca="false">IF(UPPER(L14)="Y",F14+2,F14)</f>
        <v>2</v>
      </c>
      <c r="N14" s="22" t="n">
        <f aca="false">IF(A14="Home",M14,IF('Start here'!$C$13="",M14,MAX(1,ROUND(M14*'Start here'!$C$13,0))))</f>
        <v>1</v>
      </c>
      <c r="O14" s="21" t="s">
        <v>143</v>
      </c>
    </row>
    <row r="15" customFormat="false" ht="23.85" hidden="false" customHeight="false" outlineLevel="0" collapsed="false">
      <c r="A15" s="21" t="s">
        <v>28</v>
      </c>
      <c r="B15" s="21" t="s">
        <v>92</v>
      </c>
      <c r="C15" s="22" t="n">
        <v>7</v>
      </c>
      <c r="D15" s="21" t="s">
        <v>144</v>
      </c>
      <c r="E15" s="21" t="s">
        <v>145</v>
      </c>
      <c r="F15" s="22" t="n">
        <v>2</v>
      </c>
      <c r="G15" s="21" t="s">
        <v>101</v>
      </c>
      <c r="H15" s="22" t="n">
        <v>8</v>
      </c>
      <c r="I15" s="22" t="n">
        <v>12</v>
      </c>
      <c r="J15" s="21" t="s">
        <v>102</v>
      </c>
      <c r="K15" s="21" t="s">
        <v>103</v>
      </c>
      <c r="L15" s="20"/>
      <c r="M15" s="22" t="n">
        <f aca="false">IF(UPPER(L15)="Y",F15+2,F15)</f>
        <v>2</v>
      </c>
      <c r="N15" s="22" t="n">
        <f aca="false">IF(A15="Home",M15,IF('Start here'!$C$13="",M15,MAX(1,ROUND(M15*'Start here'!$C$13,0))))</f>
        <v>1</v>
      </c>
      <c r="O15" s="21" t="s">
        <v>146</v>
      </c>
    </row>
    <row r="16" customFormat="false" ht="23.85" hidden="false" customHeight="false" outlineLevel="0" collapsed="false">
      <c r="A16" s="21" t="s">
        <v>28</v>
      </c>
      <c r="B16" s="21" t="s">
        <v>92</v>
      </c>
      <c r="C16" s="22" t="n">
        <v>8</v>
      </c>
      <c r="D16" s="21" t="s">
        <v>147</v>
      </c>
      <c r="E16" s="21" t="s">
        <v>148</v>
      </c>
      <c r="F16" s="22" t="n">
        <v>2</v>
      </c>
      <c r="G16" s="21" t="s">
        <v>149</v>
      </c>
      <c r="H16" s="22" t="n">
        <v>20</v>
      </c>
      <c r="I16" s="22" t="n">
        <v>30</v>
      </c>
      <c r="J16" s="21" t="s">
        <v>150</v>
      </c>
      <c r="K16" s="21" t="s">
        <v>151</v>
      </c>
      <c r="L16" s="20"/>
      <c r="M16" s="22" t="n">
        <f aca="false">IF(UPPER(L16)="Y",F16+2,F16)</f>
        <v>2</v>
      </c>
      <c r="N16" s="22" t="n">
        <f aca="false">IF(A16="Home",M16,IF('Start here'!$C$13="",M16,MAX(1,ROUND(M16*'Start here'!$C$13,0))))</f>
        <v>1</v>
      </c>
      <c r="O16" s="21" t="s">
        <v>152</v>
      </c>
    </row>
    <row r="17" customFormat="false" ht="23.85" hidden="false" customHeight="false" outlineLevel="0" collapsed="false">
      <c r="A17" s="23" t="s">
        <v>30</v>
      </c>
      <c r="B17" s="23" t="s">
        <v>92</v>
      </c>
      <c r="C17" s="24" t="n">
        <v>1</v>
      </c>
      <c r="D17" s="23" t="s">
        <v>153</v>
      </c>
      <c r="E17" s="23" t="s">
        <v>154</v>
      </c>
      <c r="F17" s="24" t="n">
        <v>3</v>
      </c>
      <c r="G17" s="23" t="s">
        <v>155</v>
      </c>
      <c r="H17" s="24" t="n">
        <v>6</v>
      </c>
      <c r="I17" s="24" t="n">
        <v>8</v>
      </c>
      <c r="J17" s="23" t="s">
        <v>156</v>
      </c>
      <c r="K17" s="23" t="s">
        <v>103</v>
      </c>
      <c r="L17" s="20"/>
      <c r="M17" s="24" t="n">
        <f aca="false">IF(UPPER(L17)="Y",F17+2,F17)</f>
        <v>3</v>
      </c>
      <c r="N17" s="24" t="n">
        <f aca="false">IF(A17="Home",M17,IF('Start here'!$C$13="",M17,MAX(1,ROUND(M17*'Start here'!$C$13,0))))</f>
        <v>2</v>
      </c>
      <c r="O17" s="23" t="s">
        <v>157</v>
      </c>
    </row>
    <row r="18" customFormat="false" ht="15" hidden="false" customHeight="false" outlineLevel="0" collapsed="false">
      <c r="A18" s="23" t="s">
        <v>30</v>
      </c>
      <c r="B18" s="23" t="s">
        <v>92</v>
      </c>
      <c r="C18" s="24" t="n">
        <v>2</v>
      </c>
      <c r="D18" s="23" t="s">
        <v>158</v>
      </c>
      <c r="E18" s="23" t="s">
        <v>159</v>
      </c>
      <c r="F18" s="24" t="n">
        <v>2</v>
      </c>
      <c r="G18" s="23" t="s">
        <v>160</v>
      </c>
      <c r="H18" s="24" t="n">
        <v>6</v>
      </c>
      <c r="I18" s="24" t="n">
        <v>10</v>
      </c>
      <c r="J18" s="23" t="s">
        <v>161</v>
      </c>
      <c r="K18" s="23" t="s">
        <v>103</v>
      </c>
      <c r="L18" s="20"/>
      <c r="M18" s="24" t="n">
        <f aca="false">IF(UPPER(L18)="Y",F18+2,F18)</f>
        <v>2</v>
      </c>
      <c r="N18" s="24" t="n">
        <f aca="false">IF(A18="Home",M18,IF('Start here'!$C$13="",M18,MAX(1,ROUND(M18*'Start here'!$C$13,0))))</f>
        <v>1</v>
      </c>
      <c r="O18" s="23"/>
    </row>
    <row r="19" customFormat="false" ht="15" hidden="false" customHeight="false" outlineLevel="0" collapsed="false">
      <c r="A19" s="23" t="s">
        <v>30</v>
      </c>
      <c r="B19" s="23" t="s">
        <v>92</v>
      </c>
      <c r="C19" s="24" t="n">
        <v>3</v>
      </c>
      <c r="D19" s="23" t="s">
        <v>162</v>
      </c>
      <c r="E19" s="23" t="s">
        <v>163</v>
      </c>
      <c r="F19" s="24" t="n">
        <v>2</v>
      </c>
      <c r="G19" s="23" t="s">
        <v>155</v>
      </c>
      <c r="H19" s="24" t="n">
        <v>6</v>
      </c>
      <c r="I19" s="24" t="n">
        <v>8</v>
      </c>
      <c r="J19" s="23" t="s">
        <v>161</v>
      </c>
      <c r="K19" s="23" t="s">
        <v>103</v>
      </c>
      <c r="L19" s="20"/>
      <c r="M19" s="24" t="n">
        <f aca="false">IF(UPPER(L19)="Y",F19+2,F19)</f>
        <v>2</v>
      </c>
      <c r="N19" s="24" t="n">
        <f aca="false">IF(A19="Home",M19,IF('Start here'!$C$13="",M19,MAX(1,ROUND(M19*'Start here'!$C$13,0))))</f>
        <v>1</v>
      </c>
      <c r="O19" s="23" t="s">
        <v>164</v>
      </c>
    </row>
    <row r="20" customFormat="false" ht="23.85" hidden="false" customHeight="false" outlineLevel="0" collapsed="false">
      <c r="A20" s="23" t="s">
        <v>30</v>
      </c>
      <c r="B20" s="23" t="s">
        <v>92</v>
      </c>
      <c r="C20" s="24" t="n">
        <v>4</v>
      </c>
      <c r="D20" s="23" t="s">
        <v>165</v>
      </c>
      <c r="E20" s="23" t="s">
        <v>166</v>
      </c>
      <c r="F20" s="24" t="n">
        <v>2</v>
      </c>
      <c r="G20" s="23" t="s">
        <v>167</v>
      </c>
      <c r="H20" s="24" t="n">
        <v>15</v>
      </c>
      <c r="I20" s="24" t="n">
        <v>45</v>
      </c>
      <c r="J20" s="23" t="s">
        <v>161</v>
      </c>
      <c r="K20" s="23" t="s">
        <v>168</v>
      </c>
      <c r="L20" s="20"/>
      <c r="M20" s="24" t="n">
        <f aca="false">IF(UPPER(L20)="Y",F20+2,F20)</f>
        <v>2</v>
      </c>
      <c r="N20" s="24" t="n">
        <f aca="false">IF(A20="Home",M20,IF('Start here'!$C$13="",M20,MAX(1,ROUND(M20*'Start here'!$C$13,0))))</f>
        <v>1</v>
      </c>
      <c r="O20" s="23" t="s">
        <v>169</v>
      </c>
    </row>
    <row r="21" customFormat="false" ht="15" hidden="false" customHeight="false" outlineLevel="0" collapsed="false">
      <c r="A21" s="23" t="s">
        <v>30</v>
      </c>
      <c r="B21" s="23" t="s">
        <v>92</v>
      </c>
      <c r="C21" s="24" t="n">
        <v>5</v>
      </c>
      <c r="D21" s="23" t="s">
        <v>170</v>
      </c>
      <c r="E21" s="23" t="s">
        <v>171</v>
      </c>
      <c r="F21" s="24" t="n">
        <v>2</v>
      </c>
      <c r="G21" s="23" t="s">
        <v>172</v>
      </c>
      <c r="H21" s="24" t="n">
        <v>12</v>
      </c>
      <c r="I21" s="24" t="n">
        <v>15</v>
      </c>
      <c r="J21" s="23" t="s">
        <v>111</v>
      </c>
      <c r="K21" s="23" t="s">
        <v>103</v>
      </c>
      <c r="L21" s="20"/>
      <c r="M21" s="24" t="n">
        <f aca="false">IF(UPPER(L21)="Y",F21+2,F21)</f>
        <v>2</v>
      </c>
      <c r="N21" s="24" t="n">
        <f aca="false">IF(A21="Home",M21,IF('Start here'!$C$13="",M21,MAX(1,ROUND(M21*'Start here'!$C$13,0))))</f>
        <v>1</v>
      </c>
      <c r="O21" s="23" t="s">
        <v>173</v>
      </c>
    </row>
    <row r="22" customFormat="false" ht="23.85" hidden="false" customHeight="false" outlineLevel="0" collapsed="false">
      <c r="A22" s="23" t="s">
        <v>30</v>
      </c>
      <c r="B22" s="23" t="s">
        <v>92</v>
      </c>
      <c r="C22" s="24" t="n">
        <v>6</v>
      </c>
      <c r="D22" s="23" t="s">
        <v>174</v>
      </c>
      <c r="E22" s="23" t="s">
        <v>175</v>
      </c>
      <c r="F22" s="24" t="n">
        <v>2</v>
      </c>
      <c r="G22" s="23" t="s">
        <v>176</v>
      </c>
      <c r="H22" s="24" t="n">
        <v>10</v>
      </c>
      <c r="I22" s="24" t="n">
        <v>15</v>
      </c>
      <c r="J22" s="23" t="s">
        <v>111</v>
      </c>
      <c r="K22" s="23" t="s">
        <v>103</v>
      </c>
      <c r="L22" s="20"/>
      <c r="M22" s="24" t="n">
        <f aca="false">IF(UPPER(L22)="Y",F22+2,F22)</f>
        <v>2</v>
      </c>
      <c r="N22" s="24" t="n">
        <f aca="false">IF(A22="Home",M22,IF('Start here'!$C$13="",M22,MAX(1,ROUND(M22*'Start here'!$C$13,0))))</f>
        <v>1</v>
      </c>
      <c r="O22" s="23"/>
    </row>
    <row r="23" customFormat="false" ht="23.85" hidden="false" customHeight="false" outlineLevel="0" collapsed="false">
      <c r="A23" s="23" t="s">
        <v>30</v>
      </c>
      <c r="B23" s="23" t="s">
        <v>92</v>
      </c>
      <c r="C23" s="24" t="n">
        <v>7</v>
      </c>
      <c r="D23" s="23" t="s">
        <v>177</v>
      </c>
      <c r="E23" s="23" t="s">
        <v>178</v>
      </c>
      <c r="F23" s="24" t="n">
        <v>2</v>
      </c>
      <c r="G23" s="23" t="s">
        <v>179</v>
      </c>
      <c r="H23" s="24" t="n">
        <v>10</v>
      </c>
      <c r="I23" s="24" t="n">
        <v>12</v>
      </c>
      <c r="J23" s="23" t="s">
        <v>111</v>
      </c>
      <c r="K23" s="23" t="s">
        <v>103</v>
      </c>
      <c r="L23" s="20"/>
      <c r="M23" s="24" t="n">
        <f aca="false">IF(UPPER(L23)="Y",F23+2,F23)</f>
        <v>2</v>
      </c>
      <c r="N23" s="24" t="n">
        <f aca="false">IF(A23="Home",M23,IF('Start here'!$C$13="",M23,MAX(1,ROUND(M23*'Start here'!$C$13,0))))</f>
        <v>1</v>
      </c>
      <c r="O23" s="23" t="s">
        <v>180</v>
      </c>
    </row>
    <row r="24" customFormat="false" ht="15" hidden="false" customHeight="false" outlineLevel="0" collapsed="false">
      <c r="A24" s="23" t="s">
        <v>30</v>
      </c>
      <c r="B24" s="23" t="s">
        <v>92</v>
      </c>
      <c r="C24" s="24" t="n">
        <v>8</v>
      </c>
      <c r="D24" s="23" t="s">
        <v>181</v>
      </c>
      <c r="E24" s="23" t="s">
        <v>182</v>
      </c>
      <c r="F24" s="24" t="n">
        <v>2</v>
      </c>
      <c r="G24" s="23" t="s">
        <v>183</v>
      </c>
      <c r="H24" s="24" t="n">
        <v>8</v>
      </c>
      <c r="I24" s="24" t="n">
        <v>12</v>
      </c>
      <c r="J24" s="23" t="s">
        <v>111</v>
      </c>
      <c r="K24" s="23" t="s">
        <v>103</v>
      </c>
      <c r="L24" s="20"/>
      <c r="M24" s="24" t="n">
        <f aca="false">IF(UPPER(L24)="Y",F24+2,F24)</f>
        <v>2</v>
      </c>
      <c r="N24" s="24" t="n">
        <f aca="false">IF(A24="Home",M24,IF('Start here'!$C$13="",M24,MAX(1,ROUND(M24*'Start here'!$C$13,0))))</f>
        <v>1</v>
      </c>
      <c r="O24" s="23"/>
    </row>
    <row r="25" customFormat="false" ht="23.85" hidden="false" customHeight="false" outlineLevel="0" collapsed="false">
      <c r="A25" s="23" t="s">
        <v>30</v>
      </c>
      <c r="B25" s="23" t="s">
        <v>92</v>
      </c>
      <c r="C25" s="24" t="n">
        <v>9</v>
      </c>
      <c r="D25" s="23" t="s">
        <v>184</v>
      </c>
      <c r="E25" s="23" t="s">
        <v>185</v>
      </c>
      <c r="F25" s="24" t="n">
        <v>2</v>
      </c>
      <c r="G25" s="23" t="s">
        <v>186</v>
      </c>
      <c r="H25" s="24" t="n">
        <v>15</v>
      </c>
      <c r="I25" s="24" t="n">
        <v>25</v>
      </c>
      <c r="J25" s="23" t="s">
        <v>187</v>
      </c>
      <c r="K25" s="23" t="s">
        <v>188</v>
      </c>
      <c r="L25" s="20"/>
      <c r="M25" s="24" t="n">
        <f aca="false">IF(UPPER(L25)="Y",F25+2,F25)</f>
        <v>2</v>
      </c>
      <c r="N25" s="24" t="n">
        <f aca="false">IF(A25="Home",M25,IF('Start here'!$C$13="",M25,MAX(1,ROUND(M25*'Start here'!$C$13,0))))</f>
        <v>1</v>
      </c>
      <c r="O25" s="23" t="s">
        <v>189</v>
      </c>
    </row>
    <row r="26" customFormat="false" ht="23.85" hidden="false" customHeight="false" outlineLevel="0" collapsed="false">
      <c r="A26" s="23" t="s">
        <v>30</v>
      </c>
      <c r="B26" s="23" t="s">
        <v>92</v>
      </c>
      <c r="C26" s="24" t="n">
        <v>10</v>
      </c>
      <c r="D26" s="23" t="s">
        <v>190</v>
      </c>
      <c r="E26" s="23" t="s">
        <v>191</v>
      </c>
      <c r="F26" s="24" t="n">
        <v>4</v>
      </c>
      <c r="G26" s="23" t="s">
        <v>192</v>
      </c>
      <c r="H26" s="24" t="n">
        <v>15</v>
      </c>
      <c r="I26" s="24" t="n">
        <v>20</v>
      </c>
      <c r="J26" s="23" t="s">
        <v>193</v>
      </c>
      <c r="K26" s="23" t="s">
        <v>194</v>
      </c>
      <c r="L26" s="20"/>
      <c r="M26" s="24" t="n">
        <f aca="false">IF(UPPER(L26)="Y",F26+2,F26)</f>
        <v>4</v>
      </c>
      <c r="N26" s="24" t="n">
        <f aca="false">IF(A26="Home",M26,IF('Start here'!$C$13="",M26,MAX(1,ROUND(M26*'Start here'!$C$13,0))))</f>
        <v>2</v>
      </c>
      <c r="O26" s="23" t="s">
        <v>195</v>
      </c>
    </row>
    <row r="27" customFormat="false" ht="23.85" hidden="false" customHeight="false" outlineLevel="0" collapsed="false">
      <c r="A27" s="25" t="s">
        <v>33</v>
      </c>
      <c r="B27" s="25" t="s">
        <v>92</v>
      </c>
      <c r="C27" s="26" t="n">
        <v>1</v>
      </c>
      <c r="D27" s="25" t="s">
        <v>196</v>
      </c>
      <c r="E27" s="25" t="s">
        <v>197</v>
      </c>
      <c r="F27" s="26" t="n">
        <v>4</v>
      </c>
      <c r="G27" s="25" t="s">
        <v>95</v>
      </c>
      <c r="H27" s="26"/>
      <c r="I27" s="26"/>
      <c r="J27" s="25" t="s">
        <v>127</v>
      </c>
      <c r="K27" s="25" t="s">
        <v>97</v>
      </c>
      <c r="L27" s="20"/>
      <c r="M27" s="26" t="n">
        <f aca="false">IF(UPPER(L27)="Y",F27+2,F27)</f>
        <v>4</v>
      </c>
      <c r="N27" s="26" t="n">
        <f aca="false">IF(A27="Home",M27,IF('Start here'!$C$13="",M27,MAX(1,ROUND(M27*'Start here'!$C$13,0))))</f>
        <v>2</v>
      </c>
      <c r="O27" s="25" t="s">
        <v>198</v>
      </c>
    </row>
    <row r="28" customFormat="false" ht="23.85" hidden="false" customHeight="false" outlineLevel="0" collapsed="false">
      <c r="A28" s="25" t="s">
        <v>33</v>
      </c>
      <c r="B28" s="25" t="s">
        <v>92</v>
      </c>
      <c r="C28" s="26" t="n">
        <v>2</v>
      </c>
      <c r="D28" s="25" t="s">
        <v>199</v>
      </c>
      <c r="E28" s="25" t="s">
        <v>200</v>
      </c>
      <c r="F28" s="26" t="n">
        <v>4</v>
      </c>
      <c r="G28" s="25" t="s">
        <v>201</v>
      </c>
      <c r="H28" s="26" t="n">
        <v>4</v>
      </c>
      <c r="I28" s="26" t="n">
        <v>6</v>
      </c>
      <c r="J28" s="25" t="s">
        <v>102</v>
      </c>
      <c r="K28" s="25" t="s">
        <v>202</v>
      </c>
      <c r="L28" s="20"/>
      <c r="M28" s="26" t="n">
        <f aca="false">IF(UPPER(L28)="Y",F28+2,F28)</f>
        <v>4</v>
      </c>
      <c r="N28" s="26" t="n">
        <f aca="false">IF(A28="Home",M28,IF('Start here'!$C$13="",M28,MAX(1,ROUND(M28*'Start here'!$C$13,0))))</f>
        <v>2</v>
      </c>
      <c r="O28" s="25" t="s">
        <v>203</v>
      </c>
    </row>
    <row r="29" customFormat="false" ht="15" hidden="false" customHeight="false" outlineLevel="0" collapsed="false">
      <c r="A29" s="25" t="s">
        <v>33</v>
      </c>
      <c r="B29" s="25" t="s">
        <v>92</v>
      </c>
      <c r="C29" s="26" t="n">
        <v>3</v>
      </c>
      <c r="D29" s="25" t="s">
        <v>204</v>
      </c>
      <c r="E29" s="25" t="s">
        <v>205</v>
      </c>
      <c r="F29" s="26" t="n">
        <v>3</v>
      </c>
      <c r="G29" s="25" t="s">
        <v>201</v>
      </c>
      <c r="H29" s="26" t="n">
        <v>4</v>
      </c>
      <c r="I29" s="26" t="n">
        <v>6</v>
      </c>
      <c r="J29" s="25" t="s">
        <v>206</v>
      </c>
      <c r="K29" s="25" t="s">
        <v>207</v>
      </c>
      <c r="L29" s="20"/>
      <c r="M29" s="26" t="n">
        <f aca="false">IF(UPPER(L29)="Y",F29+2,F29)</f>
        <v>3</v>
      </c>
      <c r="N29" s="26" t="n">
        <f aca="false">IF(A29="Home",M29,IF('Start here'!$C$13="",M29,MAX(1,ROUND(M29*'Start here'!$C$13,0))))</f>
        <v>2</v>
      </c>
      <c r="O29" s="25" t="s">
        <v>208</v>
      </c>
    </row>
    <row r="30" customFormat="false" ht="15" hidden="false" customHeight="false" outlineLevel="0" collapsed="false">
      <c r="A30" s="25" t="s">
        <v>33</v>
      </c>
      <c r="B30" s="25" t="s">
        <v>92</v>
      </c>
      <c r="C30" s="26" t="n">
        <v>4</v>
      </c>
      <c r="D30" s="25" t="s">
        <v>209</v>
      </c>
      <c r="E30" s="25" t="s">
        <v>210</v>
      </c>
      <c r="F30" s="26" t="n">
        <v>2</v>
      </c>
      <c r="G30" s="25" t="s">
        <v>124</v>
      </c>
      <c r="H30" s="26" t="n">
        <v>10</v>
      </c>
      <c r="I30" s="26" t="n">
        <v>15</v>
      </c>
      <c r="J30" s="25" t="s">
        <v>102</v>
      </c>
      <c r="K30" s="25" t="s">
        <v>103</v>
      </c>
      <c r="L30" s="20"/>
      <c r="M30" s="26" t="n">
        <f aca="false">IF(UPPER(L30)="Y",F30+2,F30)</f>
        <v>2</v>
      </c>
      <c r="N30" s="26" t="n">
        <f aca="false">IF(A30="Home",M30,IF('Start here'!$C$13="",M30,MAX(1,ROUND(M30*'Start here'!$C$13,0))))</f>
        <v>1</v>
      </c>
      <c r="O30" s="25"/>
    </row>
    <row r="31" customFormat="false" ht="23.85" hidden="false" customHeight="false" outlineLevel="0" collapsed="false">
      <c r="A31" s="25" t="s">
        <v>33</v>
      </c>
      <c r="B31" s="25" t="s">
        <v>92</v>
      </c>
      <c r="C31" s="26" t="n">
        <v>5</v>
      </c>
      <c r="D31" s="25" t="s">
        <v>211</v>
      </c>
      <c r="E31" s="25" t="s">
        <v>212</v>
      </c>
      <c r="F31" s="26" t="n">
        <v>3</v>
      </c>
      <c r="G31" s="25" t="s">
        <v>110</v>
      </c>
      <c r="H31" s="26" t="n">
        <v>12</v>
      </c>
      <c r="I31" s="26" t="n">
        <v>20</v>
      </c>
      <c r="J31" s="25" t="s">
        <v>102</v>
      </c>
      <c r="K31" s="25" t="s">
        <v>213</v>
      </c>
      <c r="L31" s="20"/>
      <c r="M31" s="26" t="n">
        <f aca="false">IF(UPPER(L31)="Y",F31+2,F31)</f>
        <v>3</v>
      </c>
      <c r="N31" s="26" t="n">
        <f aca="false">IF(A31="Home",M31,IF('Start here'!$C$13="",M31,MAX(1,ROUND(M31*'Start here'!$C$13,0))))</f>
        <v>2</v>
      </c>
      <c r="O31" s="25" t="s">
        <v>214</v>
      </c>
    </row>
    <row r="32" customFormat="false" ht="15" hidden="false" customHeight="false" outlineLevel="0" collapsed="false">
      <c r="A32" s="25" t="s">
        <v>33</v>
      </c>
      <c r="B32" s="25" t="s">
        <v>92</v>
      </c>
      <c r="C32" s="26" t="n">
        <v>6</v>
      </c>
      <c r="D32" s="25" t="s">
        <v>215</v>
      </c>
      <c r="E32" s="25" t="s">
        <v>216</v>
      </c>
      <c r="F32" s="26" t="n">
        <v>2</v>
      </c>
      <c r="G32" s="25" t="s">
        <v>101</v>
      </c>
      <c r="H32" s="26" t="n">
        <v>8</v>
      </c>
      <c r="I32" s="26" t="n">
        <v>12</v>
      </c>
      <c r="J32" s="25" t="s">
        <v>102</v>
      </c>
      <c r="K32" s="25" t="s">
        <v>103</v>
      </c>
      <c r="L32" s="20"/>
      <c r="M32" s="26" t="n">
        <f aca="false">IF(UPPER(L32)="Y",F32+2,F32)</f>
        <v>2</v>
      </c>
      <c r="N32" s="26" t="n">
        <f aca="false">IF(A32="Home",M32,IF('Start here'!$C$13="",M32,MAX(1,ROUND(M32*'Start here'!$C$13,0))))</f>
        <v>1</v>
      </c>
      <c r="O32" s="25" t="s">
        <v>217</v>
      </c>
    </row>
    <row r="33" customFormat="false" ht="15" hidden="false" customHeight="false" outlineLevel="0" collapsed="false">
      <c r="A33" s="25" t="s">
        <v>33</v>
      </c>
      <c r="B33" s="25" t="s">
        <v>92</v>
      </c>
      <c r="C33" s="26" t="n">
        <v>7</v>
      </c>
      <c r="D33" s="25" t="s">
        <v>218</v>
      </c>
      <c r="E33" s="25" t="s">
        <v>219</v>
      </c>
      <c r="F33" s="26" t="n">
        <v>2</v>
      </c>
      <c r="G33" s="25" t="s">
        <v>110</v>
      </c>
      <c r="H33" s="26" t="n">
        <v>12</v>
      </c>
      <c r="I33" s="26" t="n">
        <v>20</v>
      </c>
      <c r="J33" s="25" t="s">
        <v>111</v>
      </c>
      <c r="K33" s="25" t="s">
        <v>103</v>
      </c>
      <c r="L33" s="20"/>
      <c r="M33" s="26" t="n">
        <f aca="false">IF(UPPER(L33)="Y",F33+2,F33)</f>
        <v>2</v>
      </c>
      <c r="N33" s="26" t="n">
        <f aca="false">IF(A33="Home",M33,IF('Start here'!$C$13="",M33,MAX(1,ROUND(M33*'Start here'!$C$13,0))))</f>
        <v>1</v>
      </c>
      <c r="O33" s="25" t="s">
        <v>220</v>
      </c>
    </row>
    <row r="34" customFormat="false" ht="15" hidden="false" customHeight="false" outlineLevel="0" collapsed="false">
      <c r="A34" s="25" t="s">
        <v>33</v>
      </c>
      <c r="B34" s="25" t="s">
        <v>92</v>
      </c>
      <c r="C34" s="26" t="n">
        <v>8</v>
      </c>
      <c r="D34" s="25" t="s">
        <v>221</v>
      </c>
      <c r="E34" s="25" t="s">
        <v>222</v>
      </c>
      <c r="F34" s="26" t="n">
        <v>2</v>
      </c>
      <c r="G34" s="25" t="s">
        <v>110</v>
      </c>
      <c r="H34" s="26" t="n">
        <v>12</v>
      </c>
      <c r="I34" s="26" t="n">
        <v>20</v>
      </c>
      <c r="J34" s="25" t="s">
        <v>111</v>
      </c>
      <c r="K34" s="25" t="s">
        <v>103</v>
      </c>
      <c r="L34" s="20"/>
      <c r="M34" s="26" t="n">
        <f aca="false">IF(UPPER(L34)="Y",F34+2,F34)</f>
        <v>2</v>
      </c>
      <c r="N34" s="26" t="n">
        <f aca="false">IF(A34="Home",M34,IF('Start here'!$C$13="",M34,MAX(1,ROUND(M34*'Start here'!$C$13,0))))</f>
        <v>1</v>
      </c>
      <c r="O34" s="25"/>
    </row>
    <row r="35" customFormat="false" ht="23.85" hidden="false" customHeight="false" outlineLevel="0" collapsed="false">
      <c r="A35" s="27" t="s">
        <v>35</v>
      </c>
      <c r="B35" s="27" t="s">
        <v>92</v>
      </c>
      <c r="C35" s="28" t="n">
        <v>1</v>
      </c>
      <c r="D35" s="27" t="s">
        <v>223</v>
      </c>
      <c r="E35" s="27" t="s">
        <v>224</v>
      </c>
      <c r="F35" s="28" t="n">
        <v>4</v>
      </c>
      <c r="G35" s="27" t="s">
        <v>95</v>
      </c>
      <c r="H35" s="28"/>
      <c r="I35" s="28"/>
      <c r="J35" s="27" t="s">
        <v>127</v>
      </c>
      <c r="K35" s="27" t="s">
        <v>97</v>
      </c>
      <c r="L35" s="20"/>
      <c r="M35" s="28" t="n">
        <f aca="false">IF(UPPER(L35)="Y",F35+2,F35)</f>
        <v>4</v>
      </c>
      <c r="N35" s="28" t="n">
        <f aca="false">IF(A35="Home",M35,IF('Start here'!$C$13="",M35,MAX(1,ROUND(M35*'Start here'!$C$13,0))))</f>
        <v>2</v>
      </c>
      <c r="O35" s="27" t="s">
        <v>225</v>
      </c>
    </row>
    <row r="36" customFormat="false" ht="15" hidden="false" customHeight="false" outlineLevel="0" collapsed="false">
      <c r="A36" s="27" t="s">
        <v>35</v>
      </c>
      <c r="B36" s="27" t="s">
        <v>92</v>
      </c>
      <c r="C36" s="28" t="n">
        <v>2</v>
      </c>
      <c r="D36" s="27" t="s">
        <v>226</v>
      </c>
      <c r="E36" s="27" t="s">
        <v>227</v>
      </c>
      <c r="F36" s="28" t="n">
        <v>3</v>
      </c>
      <c r="G36" s="27" t="s">
        <v>119</v>
      </c>
      <c r="H36" s="28" t="n">
        <v>6</v>
      </c>
      <c r="I36" s="28" t="n">
        <v>10</v>
      </c>
      <c r="J36" s="27" t="s">
        <v>102</v>
      </c>
      <c r="K36" s="27" t="s">
        <v>103</v>
      </c>
      <c r="L36" s="20"/>
      <c r="M36" s="28" t="n">
        <f aca="false">IF(UPPER(L36)="Y",F36+2,F36)</f>
        <v>3</v>
      </c>
      <c r="N36" s="28" t="n">
        <f aca="false">IF(A36="Home",M36,IF('Start here'!$C$13="",M36,MAX(1,ROUND(M36*'Start here'!$C$13,0))))</f>
        <v>2</v>
      </c>
      <c r="O36" s="27"/>
    </row>
    <row r="37" customFormat="false" ht="23.85" hidden="false" customHeight="false" outlineLevel="0" collapsed="false">
      <c r="A37" s="27" t="s">
        <v>35</v>
      </c>
      <c r="B37" s="27" t="s">
        <v>92</v>
      </c>
      <c r="C37" s="28" t="n">
        <v>3</v>
      </c>
      <c r="D37" s="27" t="s">
        <v>228</v>
      </c>
      <c r="E37" s="27" t="s">
        <v>229</v>
      </c>
      <c r="F37" s="28" t="n">
        <v>3</v>
      </c>
      <c r="G37" s="27" t="s">
        <v>119</v>
      </c>
      <c r="H37" s="28" t="n">
        <v>6</v>
      </c>
      <c r="I37" s="28" t="n">
        <v>10</v>
      </c>
      <c r="J37" s="27" t="s">
        <v>102</v>
      </c>
      <c r="K37" s="27" t="s">
        <v>103</v>
      </c>
      <c r="L37" s="20"/>
      <c r="M37" s="28" t="n">
        <f aca="false">IF(UPPER(L37)="Y",F37+2,F37)</f>
        <v>3</v>
      </c>
      <c r="N37" s="28" t="n">
        <f aca="false">IF(A37="Home",M37,IF('Start here'!$C$13="",M37,MAX(1,ROUND(M37*'Start here'!$C$13,0))))</f>
        <v>2</v>
      </c>
      <c r="O37" s="27" t="s">
        <v>230</v>
      </c>
    </row>
    <row r="38" customFormat="false" ht="15" hidden="false" customHeight="false" outlineLevel="0" collapsed="false">
      <c r="A38" s="27" t="s">
        <v>35</v>
      </c>
      <c r="B38" s="27" t="s">
        <v>92</v>
      </c>
      <c r="C38" s="28" t="n">
        <v>4</v>
      </c>
      <c r="D38" s="27" t="s">
        <v>231</v>
      </c>
      <c r="E38" s="27" t="s">
        <v>232</v>
      </c>
      <c r="F38" s="28" t="n">
        <v>2</v>
      </c>
      <c r="G38" s="27" t="s">
        <v>124</v>
      </c>
      <c r="H38" s="28" t="n">
        <v>10</v>
      </c>
      <c r="I38" s="28" t="n">
        <v>15</v>
      </c>
      <c r="J38" s="27" t="s">
        <v>102</v>
      </c>
      <c r="K38" s="27" t="s">
        <v>103</v>
      </c>
      <c r="L38" s="20"/>
      <c r="M38" s="28" t="n">
        <f aca="false">IF(UPPER(L38)="Y",F38+2,F38)</f>
        <v>2</v>
      </c>
      <c r="N38" s="28" t="n">
        <f aca="false">IF(A38="Home",M38,IF('Start here'!$C$13="",M38,MAX(1,ROUND(M38*'Start here'!$C$13,0))))</f>
        <v>1</v>
      </c>
      <c r="O38" s="27" t="s">
        <v>233</v>
      </c>
    </row>
    <row r="39" customFormat="false" ht="23.85" hidden="false" customHeight="false" outlineLevel="0" collapsed="false">
      <c r="A39" s="27" t="s">
        <v>35</v>
      </c>
      <c r="B39" s="27" t="s">
        <v>92</v>
      </c>
      <c r="C39" s="28" t="n">
        <v>5</v>
      </c>
      <c r="D39" s="27" t="s">
        <v>234</v>
      </c>
      <c r="E39" s="27" t="s">
        <v>235</v>
      </c>
      <c r="F39" s="28" t="n">
        <v>2</v>
      </c>
      <c r="G39" s="27" t="s">
        <v>119</v>
      </c>
      <c r="H39" s="28" t="n">
        <v>6</v>
      </c>
      <c r="I39" s="28" t="n">
        <v>10</v>
      </c>
      <c r="J39" s="27" t="s">
        <v>236</v>
      </c>
      <c r="K39" s="27" t="s">
        <v>237</v>
      </c>
      <c r="L39" s="20"/>
      <c r="M39" s="28" t="n">
        <f aca="false">IF(UPPER(L39)="Y",F39+2,F39)</f>
        <v>2</v>
      </c>
      <c r="N39" s="28" t="n">
        <f aca="false">IF(A39="Home",M39,IF('Start here'!$C$13="",M39,MAX(1,ROUND(M39*'Start here'!$C$13,0))))</f>
        <v>1</v>
      </c>
      <c r="O39" s="27" t="s">
        <v>238</v>
      </c>
    </row>
    <row r="40" customFormat="false" ht="15" hidden="false" customHeight="false" outlineLevel="0" collapsed="false">
      <c r="A40" s="27" t="s">
        <v>35</v>
      </c>
      <c r="B40" s="27" t="s">
        <v>92</v>
      </c>
      <c r="C40" s="28" t="n">
        <v>6</v>
      </c>
      <c r="D40" s="27" t="s">
        <v>239</v>
      </c>
      <c r="E40" s="27" t="s">
        <v>240</v>
      </c>
      <c r="F40" s="28" t="n">
        <v>3</v>
      </c>
      <c r="G40" s="27" t="s">
        <v>101</v>
      </c>
      <c r="H40" s="28" t="n">
        <v>8</v>
      </c>
      <c r="I40" s="28" t="n">
        <v>12</v>
      </c>
      <c r="J40" s="27" t="s">
        <v>102</v>
      </c>
      <c r="K40" s="27" t="s">
        <v>103</v>
      </c>
      <c r="L40" s="20"/>
      <c r="M40" s="28" t="n">
        <f aca="false">IF(UPPER(L40)="Y",F40+2,F40)</f>
        <v>3</v>
      </c>
      <c r="N40" s="28" t="n">
        <f aca="false">IF(A40="Home",M40,IF('Start here'!$C$13="",M40,MAX(1,ROUND(M40*'Start here'!$C$13,0))))</f>
        <v>2</v>
      </c>
      <c r="O40" s="27"/>
    </row>
    <row r="41" customFormat="false" ht="15" hidden="false" customHeight="false" outlineLevel="0" collapsed="false">
      <c r="A41" s="27" t="s">
        <v>35</v>
      </c>
      <c r="B41" s="27" t="s">
        <v>92</v>
      </c>
      <c r="C41" s="28" t="n">
        <v>7</v>
      </c>
      <c r="D41" s="27" t="s">
        <v>241</v>
      </c>
      <c r="E41" s="27" t="s">
        <v>242</v>
      </c>
      <c r="F41" s="28" t="n">
        <v>2</v>
      </c>
      <c r="G41" s="27" t="s">
        <v>176</v>
      </c>
      <c r="H41" s="28" t="n">
        <v>10</v>
      </c>
      <c r="I41" s="28" t="n">
        <v>15</v>
      </c>
      <c r="J41" s="27" t="s">
        <v>111</v>
      </c>
      <c r="K41" s="27" t="s">
        <v>103</v>
      </c>
      <c r="L41" s="20"/>
      <c r="M41" s="28" t="n">
        <f aca="false">IF(UPPER(L41)="Y",F41+2,F41)</f>
        <v>2</v>
      </c>
      <c r="N41" s="28" t="n">
        <f aca="false">IF(A41="Home",M41,IF('Start here'!$C$13="",M41,MAX(1,ROUND(M41*'Start here'!$C$13,0))))</f>
        <v>1</v>
      </c>
      <c r="O41" s="27"/>
    </row>
    <row r="42" customFormat="false" ht="23.85" hidden="false" customHeight="false" outlineLevel="0" collapsed="false">
      <c r="A42" s="27" t="s">
        <v>35</v>
      </c>
      <c r="B42" s="27" t="s">
        <v>92</v>
      </c>
      <c r="C42" s="28" t="n">
        <v>8</v>
      </c>
      <c r="D42" s="27" t="s">
        <v>243</v>
      </c>
      <c r="E42" s="27" t="s">
        <v>244</v>
      </c>
      <c r="F42" s="28" t="n">
        <v>2</v>
      </c>
      <c r="G42" s="27" t="s">
        <v>245</v>
      </c>
      <c r="H42" s="28" t="n">
        <v>15</v>
      </c>
      <c r="I42" s="28" t="n">
        <v>20</v>
      </c>
      <c r="J42" s="27" t="s">
        <v>111</v>
      </c>
      <c r="K42" s="27" t="s">
        <v>103</v>
      </c>
      <c r="L42" s="20"/>
      <c r="M42" s="28" t="n">
        <f aca="false">IF(UPPER(L42)="Y",F42+2,F42)</f>
        <v>2</v>
      </c>
      <c r="N42" s="28" t="n">
        <f aca="false">IF(A42="Home",M42,IF('Start here'!$C$13="",M42,MAX(1,ROUND(M42*'Start here'!$C$13,0))))</f>
        <v>1</v>
      </c>
      <c r="O42" s="27" t="s">
        <v>246</v>
      </c>
    </row>
    <row r="43" customFormat="false" ht="15" hidden="false" customHeight="false" outlineLevel="0" collapsed="false">
      <c r="A43" s="29" t="s">
        <v>247</v>
      </c>
      <c r="B43" s="29" t="s">
        <v>92</v>
      </c>
      <c r="C43" s="30" t="n">
        <v>1</v>
      </c>
      <c r="D43" s="29" t="s">
        <v>248</v>
      </c>
      <c r="E43" s="29" t="s">
        <v>249</v>
      </c>
      <c r="F43" s="30" t="n">
        <v>3</v>
      </c>
      <c r="G43" s="29" t="s">
        <v>250</v>
      </c>
      <c r="H43" s="30" t="n">
        <v>3</v>
      </c>
      <c r="I43" s="30" t="n">
        <v>5</v>
      </c>
      <c r="J43" s="29" t="s">
        <v>206</v>
      </c>
      <c r="K43" s="29" t="s">
        <v>207</v>
      </c>
      <c r="L43" s="20"/>
      <c r="M43" s="30" t="n">
        <f aca="false">IF(UPPER(L43)="Y",F43+2,F43)</f>
        <v>3</v>
      </c>
      <c r="N43" s="30" t="n">
        <f aca="false">IF(A43="Home",M43,IF('Start here'!$C$13="",M43,MAX(1,ROUND(M43*'Start here'!$C$13,0))))</f>
        <v>2</v>
      </c>
      <c r="O43" s="29" t="s">
        <v>251</v>
      </c>
    </row>
    <row r="44" customFormat="false" ht="15" hidden="false" customHeight="false" outlineLevel="0" collapsed="false">
      <c r="A44" s="29" t="s">
        <v>247</v>
      </c>
      <c r="B44" s="29" t="s">
        <v>252</v>
      </c>
      <c r="C44" s="30" t="n">
        <v>2</v>
      </c>
      <c r="D44" s="29" t="s">
        <v>253</v>
      </c>
      <c r="E44" s="29" t="s">
        <v>254</v>
      </c>
      <c r="F44" s="30" t="n">
        <v>2</v>
      </c>
      <c r="G44" s="29" t="s">
        <v>160</v>
      </c>
      <c r="H44" s="30" t="n">
        <v>6</v>
      </c>
      <c r="I44" s="30" t="n">
        <v>10</v>
      </c>
      <c r="J44" s="29" t="s">
        <v>111</v>
      </c>
      <c r="K44" s="29" t="s">
        <v>103</v>
      </c>
      <c r="L44" s="20"/>
      <c r="M44" s="30" t="n">
        <f aca="false">IF(UPPER(L44)="Y",F44+2,F44)</f>
        <v>2</v>
      </c>
      <c r="N44" s="30" t="n">
        <f aca="false">IF(A44="Home",M44,IF('Start here'!$C$13="",M44,MAX(1,ROUND(M44*'Start here'!$C$13,0))))</f>
        <v>1</v>
      </c>
      <c r="O44" s="29"/>
    </row>
    <row r="45" customFormat="false" ht="15" hidden="false" customHeight="false" outlineLevel="0" collapsed="false">
      <c r="A45" s="29" t="s">
        <v>247</v>
      </c>
      <c r="B45" s="29" t="s">
        <v>252</v>
      </c>
      <c r="C45" s="30" t="n">
        <v>3</v>
      </c>
      <c r="D45" s="29" t="s">
        <v>255</v>
      </c>
      <c r="E45" s="29" t="s">
        <v>256</v>
      </c>
      <c r="F45" s="30" t="n">
        <v>2</v>
      </c>
      <c r="G45" s="29" t="s">
        <v>124</v>
      </c>
      <c r="H45" s="30" t="n">
        <v>10</v>
      </c>
      <c r="I45" s="30" t="n">
        <v>15</v>
      </c>
      <c r="J45" s="29" t="s">
        <v>102</v>
      </c>
      <c r="K45" s="29" t="s">
        <v>103</v>
      </c>
      <c r="L45" s="20"/>
      <c r="M45" s="30" t="n">
        <f aca="false">IF(UPPER(L45)="Y",F45+2,F45)</f>
        <v>2</v>
      </c>
      <c r="N45" s="30" t="n">
        <f aca="false">IF(A45="Home",M45,IF('Start here'!$C$13="",M45,MAX(1,ROUND(M45*'Start here'!$C$13,0))))</f>
        <v>1</v>
      </c>
      <c r="O45" s="29"/>
    </row>
    <row r="46" customFormat="false" ht="15" hidden="false" customHeight="false" outlineLevel="0" collapsed="false">
      <c r="A46" s="29" t="s">
        <v>247</v>
      </c>
      <c r="B46" s="29" t="s">
        <v>252</v>
      </c>
      <c r="C46" s="30" t="n">
        <v>4</v>
      </c>
      <c r="D46" s="29" t="s">
        <v>257</v>
      </c>
      <c r="E46" s="29" t="s">
        <v>258</v>
      </c>
      <c r="F46" s="30" t="n">
        <v>2</v>
      </c>
      <c r="G46" s="29" t="s">
        <v>124</v>
      </c>
      <c r="H46" s="30" t="n">
        <v>10</v>
      </c>
      <c r="I46" s="30" t="n">
        <v>15</v>
      </c>
      <c r="J46" s="29" t="s">
        <v>102</v>
      </c>
      <c r="K46" s="29" t="s">
        <v>103</v>
      </c>
      <c r="L46" s="20"/>
      <c r="M46" s="30" t="n">
        <f aca="false">IF(UPPER(L46)="Y",F46+2,F46)</f>
        <v>2</v>
      </c>
      <c r="N46" s="30" t="n">
        <f aca="false">IF(A46="Home",M46,IF('Start here'!$C$13="",M46,MAX(1,ROUND(M46*'Start here'!$C$13,0))))</f>
        <v>1</v>
      </c>
      <c r="O46" s="29"/>
    </row>
    <row r="47" customFormat="false" ht="23.85" hidden="false" customHeight="false" outlineLevel="0" collapsed="false">
      <c r="A47" s="29" t="s">
        <v>247</v>
      </c>
      <c r="B47" s="29" t="s">
        <v>252</v>
      </c>
      <c r="C47" s="30" t="n">
        <v>5</v>
      </c>
      <c r="D47" s="29" t="s">
        <v>259</v>
      </c>
      <c r="E47" s="29" t="s">
        <v>260</v>
      </c>
      <c r="F47" s="30" t="n">
        <v>2</v>
      </c>
      <c r="G47" s="29" t="s">
        <v>261</v>
      </c>
      <c r="H47" s="30" t="n">
        <v>10</v>
      </c>
      <c r="I47" s="30" t="n">
        <v>15</v>
      </c>
      <c r="J47" s="29" t="s">
        <v>193</v>
      </c>
      <c r="K47" s="29" t="s">
        <v>262</v>
      </c>
      <c r="L47" s="20"/>
      <c r="M47" s="30" t="n">
        <f aca="false">IF(UPPER(L47)="Y",F47+2,F47)</f>
        <v>2</v>
      </c>
      <c r="N47" s="30" t="n">
        <f aca="false">IF(A47="Home",M47,IF('Start here'!$C$13="",M47,MAX(1,ROUND(M47*'Start here'!$C$13,0))))</f>
        <v>1</v>
      </c>
      <c r="O47" s="29" t="s">
        <v>238</v>
      </c>
    </row>
    <row r="48" customFormat="false" ht="23.85" hidden="false" customHeight="false" outlineLevel="0" collapsed="false">
      <c r="A48" s="29" t="s">
        <v>247</v>
      </c>
      <c r="B48" s="29" t="s">
        <v>252</v>
      </c>
      <c r="C48" s="30" t="n">
        <v>6</v>
      </c>
      <c r="D48" s="29" t="s">
        <v>263</v>
      </c>
      <c r="E48" s="29" t="s">
        <v>264</v>
      </c>
      <c r="F48" s="30" t="n">
        <v>2</v>
      </c>
      <c r="G48" s="29" t="s">
        <v>261</v>
      </c>
      <c r="H48" s="30" t="n">
        <v>10</v>
      </c>
      <c r="I48" s="30" t="n">
        <v>15</v>
      </c>
      <c r="J48" s="29" t="s">
        <v>193</v>
      </c>
      <c r="K48" s="29" t="s">
        <v>262</v>
      </c>
      <c r="L48" s="20"/>
      <c r="M48" s="30" t="n">
        <f aca="false">IF(UPPER(L48)="Y",F48+2,F48)</f>
        <v>2</v>
      </c>
      <c r="N48" s="30" t="n">
        <f aca="false">IF(A48="Home",M48,IF('Start here'!$C$13="",M48,MAX(1,ROUND(M48*'Start here'!$C$13,0))))</f>
        <v>1</v>
      </c>
      <c r="O48" s="29" t="s">
        <v>265</v>
      </c>
    </row>
    <row r="49" customFormat="false" ht="15" hidden="false" customHeight="false" outlineLevel="0" collapsed="false">
      <c r="A49" s="29" t="s">
        <v>247</v>
      </c>
      <c r="B49" s="29" t="s">
        <v>252</v>
      </c>
      <c r="C49" s="30" t="n">
        <v>7</v>
      </c>
      <c r="D49" s="29" t="s">
        <v>266</v>
      </c>
      <c r="E49" s="29" t="s">
        <v>267</v>
      </c>
      <c r="F49" s="30" t="n">
        <v>2</v>
      </c>
      <c r="G49" s="29" t="s">
        <v>268</v>
      </c>
      <c r="H49" s="30" t="n">
        <v>8</v>
      </c>
      <c r="I49" s="30" t="n">
        <v>12</v>
      </c>
      <c r="J49" s="29" t="s">
        <v>111</v>
      </c>
      <c r="K49" s="29" t="s">
        <v>103</v>
      </c>
      <c r="L49" s="20"/>
      <c r="M49" s="30" t="n">
        <f aca="false">IF(UPPER(L49)="Y",F49+2,F49)</f>
        <v>2</v>
      </c>
      <c r="N49" s="30" t="n">
        <f aca="false">IF(A49="Home",M49,IF('Start here'!$C$13="",M49,MAX(1,ROUND(M49*'Start here'!$C$13,0))))</f>
        <v>1</v>
      </c>
      <c r="O49" s="29"/>
    </row>
    <row r="50" customFormat="false" ht="23.85" hidden="false" customHeight="false" outlineLevel="0" collapsed="false">
      <c r="A50" s="29" t="s">
        <v>247</v>
      </c>
      <c r="B50" s="29" t="s">
        <v>252</v>
      </c>
      <c r="C50" s="30" t="n">
        <v>8</v>
      </c>
      <c r="D50" s="29" t="s">
        <v>269</v>
      </c>
      <c r="E50" s="29" t="s">
        <v>270</v>
      </c>
      <c r="F50" s="30" t="n">
        <v>1</v>
      </c>
      <c r="G50" s="29" t="s">
        <v>124</v>
      </c>
      <c r="H50" s="30" t="n">
        <v>10</v>
      </c>
      <c r="I50" s="30" t="n">
        <v>15</v>
      </c>
      <c r="J50" s="29" t="s">
        <v>102</v>
      </c>
      <c r="K50" s="29" t="s">
        <v>103</v>
      </c>
      <c r="L50" s="20"/>
      <c r="M50" s="30" t="n">
        <f aca="false">IF(UPPER(L50)="Y",F50+2,F50)</f>
        <v>1</v>
      </c>
      <c r="N50" s="30" t="n">
        <f aca="false">IF(A50="Home",M50,IF('Start here'!$C$13="",M50,MAX(1,ROUND(M50*'Start here'!$C$13,0))))</f>
        <v>1</v>
      </c>
      <c r="O50" s="29"/>
    </row>
    <row r="51" customFormat="false" ht="23.85" hidden="false" customHeight="false" outlineLevel="0" collapsed="false">
      <c r="A51" s="29" t="s">
        <v>247</v>
      </c>
      <c r="B51" s="29" t="s">
        <v>252</v>
      </c>
      <c r="C51" s="30" t="n">
        <v>9</v>
      </c>
      <c r="D51" s="29" t="s">
        <v>271</v>
      </c>
      <c r="E51" s="29" t="s">
        <v>272</v>
      </c>
      <c r="F51" s="30" t="n">
        <v>1</v>
      </c>
      <c r="G51" s="29" t="s">
        <v>124</v>
      </c>
      <c r="H51" s="30" t="n">
        <v>10</v>
      </c>
      <c r="I51" s="30" t="n">
        <v>15</v>
      </c>
      <c r="J51" s="29" t="s">
        <v>102</v>
      </c>
      <c r="K51" s="29" t="s">
        <v>103</v>
      </c>
      <c r="L51" s="20"/>
      <c r="M51" s="30" t="n">
        <f aca="false">IF(UPPER(L51)="Y",F51+2,F51)</f>
        <v>1</v>
      </c>
      <c r="N51" s="30" t="n">
        <f aca="false">IF(A51="Home",M51,IF('Start here'!$C$13="",M51,MAX(1,ROUND(M51*'Start here'!$C$13,0))))</f>
        <v>1</v>
      </c>
      <c r="O51" s="29"/>
    </row>
    <row r="52" customFormat="false" ht="23.85" hidden="false" customHeight="false" outlineLevel="0" collapsed="false">
      <c r="A52" s="29" t="s">
        <v>247</v>
      </c>
      <c r="B52" s="29" t="s">
        <v>252</v>
      </c>
      <c r="C52" s="30" t="n">
        <v>10</v>
      </c>
      <c r="D52" s="29" t="s">
        <v>273</v>
      </c>
      <c r="E52" s="29" t="s">
        <v>274</v>
      </c>
      <c r="F52" s="30" t="n">
        <v>2</v>
      </c>
      <c r="G52" s="29" t="s">
        <v>275</v>
      </c>
      <c r="H52" s="30" t="n">
        <v>20</v>
      </c>
      <c r="I52" s="30" t="n">
        <v>30</v>
      </c>
      <c r="J52" s="29" t="s">
        <v>276</v>
      </c>
      <c r="K52" s="29" t="s">
        <v>277</v>
      </c>
      <c r="L52" s="20"/>
      <c r="M52" s="30" t="n">
        <f aca="false">IF(UPPER(L52)="Y",F52+2,F52)</f>
        <v>2</v>
      </c>
      <c r="N52" s="30" t="n">
        <f aca="false">IF(A52="Home",M52,IF('Start here'!$C$13="",M52,MAX(1,ROUND(M52*'Start here'!$C$13,0))))</f>
        <v>1</v>
      </c>
      <c r="O52" s="29" t="s">
        <v>278</v>
      </c>
    </row>
    <row r="53" customFormat="false" ht="15" hidden="false" customHeight="false" outlineLevel="0" collapsed="false">
      <c r="A53" s="29" t="s">
        <v>247</v>
      </c>
      <c r="B53" s="29" t="s">
        <v>252</v>
      </c>
      <c r="C53" s="30" t="n">
        <v>11</v>
      </c>
      <c r="D53" s="29" t="s">
        <v>279</v>
      </c>
      <c r="E53" s="29" t="s">
        <v>280</v>
      </c>
      <c r="F53" s="30" t="n">
        <v>2</v>
      </c>
      <c r="G53" s="29" t="s">
        <v>281</v>
      </c>
      <c r="H53" s="30" t="n">
        <v>15</v>
      </c>
      <c r="I53" s="30" t="n">
        <v>20</v>
      </c>
      <c r="J53" s="29" t="s">
        <v>111</v>
      </c>
      <c r="K53" s="29" t="s">
        <v>103</v>
      </c>
      <c r="L53" s="20"/>
      <c r="M53" s="30" t="n">
        <f aca="false">IF(UPPER(L53)="Y",F53+2,F53)</f>
        <v>2</v>
      </c>
      <c r="N53" s="30" t="n">
        <f aca="false">IF(A53="Home",M53,IF('Start here'!$C$13="",M53,MAX(1,ROUND(M53*'Start here'!$C$13,0))))</f>
        <v>1</v>
      </c>
      <c r="O53" s="29"/>
    </row>
    <row r="54" customFormat="false" ht="23.85" hidden="false" customHeight="false" outlineLevel="0" collapsed="false">
      <c r="A54" s="29" t="s">
        <v>247</v>
      </c>
      <c r="B54" s="29" t="s">
        <v>252</v>
      </c>
      <c r="C54" s="30" t="n">
        <v>12</v>
      </c>
      <c r="D54" s="29" t="s">
        <v>282</v>
      </c>
      <c r="E54" s="29" t="s">
        <v>283</v>
      </c>
      <c r="F54" s="30" t="n">
        <v>2</v>
      </c>
      <c r="G54" s="29" t="s">
        <v>284</v>
      </c>
      <c r="H54" s="30" t="n">
        <v>12</v>
      </c>
      <c r="I54" s="30" t="n">
        <v>20</v>
      </c>
      <c r="J54" s="29" t="s">
        <v>111</v>
      </c>
      <c r="K54" s="29" t="s">
        <v>103</v>
      </c>
      <c r="L54" s="20"/>
      <c r="M54" s="30" t="n">
        <f aca="false">IF(UPPER(L54)="Y",F54+2,F54)</f>
        <v>2</v>
      </c>
      <c r="N54" s="30" t="n">
        <f aca="false">IF(A54="Home",M54,IF('Start here'!$C$13="",M54,MAX(1,ROUND(M54*'Start here'!$C$13,0))))</f>
        <v>1</v>
      </c>
      <c r="O54" s="29" t="s">
        <v>285</v>
      </c>
    </row>
    <row r="55" customFormat="false" ht="23.85" hidden="false" customHeight="false" outlineLevel="0" collapsed="false">
      <c r="A55" s="29" t="s">
        <v>247</v>
      </c>
      <c r="B55" s="29" t="s">
        <v>286</v>
      </c>
      <c r="C55" s="30" t="n">
        <v>2</v>
      </c>
      <c r="D55" s="29" t="s">
        <v>287</v>
      </c>
      <c r="E55" s="29" t="s">
        <v>288</v>
      </c>
      <c r="F55" s="30" t="n">
        <v>2</v>
      </c>
      <c r="G55" s="29" t="s">
        <v>124</v>
      </c>
      <c r="H55" s="30" t="n">
        <v>10</v>
      </c>
      <c r="I55" s="30" t="n">
        <v>15</v>
      </c>
      <c r="J55" s="29" t="s">
        <v>111</v>
      </c>
      <c r="K55" s="29" t="s">
        <v>103</v>
      </c>
      <c r="L55" s="20"/>
      <c r="M55" s="30" t="n">
        <f aca="false">IF(UPPER(L55)="Y",F55+2,F55)</f>
        <v>2</v>
      </c>
      <c r="N55" s="30" t="n">
        <f aca="false">IF(A55="Home",M55,IF('Start here'!$C$13="",M55,MAX(1,ROUND(M55*'Start here'!$C$13,0))))</f>
        <v>1</v>
      </c>
      <c r="O55" s="29" t="s">
        <v>289</v>
      </c>
    </row>
    <row r="56" customFormat="false" ht="15" hidden="false" customHeight="false" outlineLevel="0" collapsed="false">
      <c r="A56" s="29" t="s">
        <v>247</v>
      </c>
      <c r="B56" s="29" t="s">
        <v>286</v>
      </c>
      <c r="C56" s="30" t="n">
        <v>3</v>
      </c>
      <c r="D56" s="29" t="s">
        <v>290</v>
      </c>
      <c r="E56" s="29" t="s">
        <v>291</v>
      </c>
      <c r="F56" s="30" t="n">
        <v>2</v>
      </c>
      <c r="G56" s="29" t="s">
        <v>292</v>
      </c>
      <c r="H56" s="30" t="n">
        <v>10</v>
      </c>
      <c r="I56" s="30" t="n">
        <v>12</v>
      </c>
      <c r="J56" s="29" t="s">
        <v>111</v>
      </c>
      <c r="K56" s="29" t="s">
        <v>103</v>
      </c>
      <c r="L56" s="20"/>
      <c r="M56" s="30" t="n">
        <f aca="false">IF(UPPER(L56)="Y",F56+2,F56)</f>
        <v>2</v>
      </c>
      <c r="N56" s="30" t="n">
        <f aca="false">IF(A56="Home",M56,IF('Start here'!$C$13="",M56,MAX(1,ROUND(M56*'Start here'!$C$13,0))))</f>
        <v>1</v>
      </c>
      <c r="O56" s="29" t="s">
        <v>293</v>
      </c>
    </row>
    <row r="57" customFormat="false" ht="15" hidden="false" customHeight="false" outlineLevel="0" collapsed="false">
      <c r="A57" s="29" t="s">
        <v>247</v>
      </c>
      <c r="B57" s="29" t="s">
        <v>286</v>
      </c>
      <c r="C57" s="30" t="n">
        <v>4</v>
      </c>
      <c r="D57" s="29" t="s">
        <v>294</v>
      </c>
      <c r="E57" s="29" t="s">
        <v>295</v>
      </c>
      <c r="F57" s="30" t="n">
        <v>2</v>
      </c>
      <c r="G57" s="29" t="s">
        <v>183</v>
      </c>
      <c r="H57" s="30" t="n">
        <v>8</v>
      </c>
      <c r="I57" s="30" t="n">
        <v>12</v>
      </c>
      <c r="J57" s="29" t="s">
        <v>111</v>
      </c>
      <c r="K57" s="29" t="s">
        <v>103</v>
      </c>
      <c r="L57" s="20"/>
      <c r="M57" s="30" t="n">
        <f aca="false">IF(UPPER(L57)="Y",F57+2,F57)</f>
        <v>2</v>
      </c>
      <c r="N57" s="30" t="n">
        <f aca="false">IF(A57="Home",M57,IF('Start here'!$C$13="",M57,MAX(1,ROUND(M57*'Start here'!$C$13,0))))</f>
        <v>1</v>
      </c>
      <c r="O57" s="29"/>
    </row>
    <row r="58" customFormat="false" ht="15" hidden="false" customHeight="false" outlineLevel="0" collapsed="false">
      <c r="A58" s="29" t="s">
        <v>247</v>
      </c>
      <c r="B58" s="29" t="s">
        <v>286</v>
      </c>
      <c r="C58" s="30" t="n">
        <v>5</v>
      </c>
      <c r="D58" s="29" t="s">
        <v>296</v>
      </c>
      <c r="E58" s="29" t="s">
        <v>297</v>
      </c>
      <c r="F58" s="30" t="n">
        <v>2</v>
      </c>
      <c r="G58" s="29" t="s">
        <v>124</v>
      </c>
      <c r="H58" s="30" t="n">
        <v>10</v>
      </c>
      <c r="I58" s="30" t="n">
        <v>15</v>
      </c>
      <c r="J58" s="29" t="s">
        <v>111</v>
      </c>
      <c r="K58" s="29" t="s">
        <v>103</v>
      </c>
      <c r="L58" s="20"/>
      <c r="M58" s="30" t="n">
        <f aca="false">IF(UPPER(L58)="Y",F58+2,F58)</f>
        <v>2</v>
      </c>
      <c r="N58" s="30" t="n">
        <f aca="false">IF(A58="Home",M58,IF('Start here'!$C$13="",M58,MAX(1,ROUND(M58*'Start here'!$C$13,0))))</f>
        <v>1</v>
      </c>
      <c r="O58" s="29"/>
    </row>
    <row r="59" customFormat="false" ht="15" hidden="false" customHeight="false" outlineLevel="0" collapsed="false">
      <c r="A59" s="29" t="s">
        <v>247</v>
      </c>
      <c r="B59" s="29" t="s">
        <v>286</v>
      </c>
      <c r="C59" s="30" t="n">
        <v>6</v>
      </c>
      <c r="D59" s="29" t="s">
        <v>298</v>
      </c>
      <c r="E59" s="29" t="s">
        <v>299</v>
      </c>
      <c r="F59" s="30" t="n">
        <v>2</v>
      </c>
      <c r="G59" s="29" t="s">
        <v>106</v>
      </c>
      <c r="H59" s="30" t="n">
        <v>12</v>
      </c>
      <c r="I59" s="30" t="n">
        <v>15</v>
      </c>
      <c r="J59" s="29" t="s">
        <v>111</v>
      </c>
      <c r="K59" s="29" t="s">
        <v>103</v>
      </c>
      <c r="L59" s="20"/>
      <c r="M59" s="30" t="n">
        <f aca="false">IF(UPPER(L59)="Y",F59+2,F59)</f>
        <v>2</v>
      </c>
      <c r="N59" s="30" t="n">
        <f aca="false">IF(A59="Home",M59,IF('Start here'!$C$13="",M59,MAX(1,ROUND(M59*'Start here'!$C$13,0))))</f>
        <v>1</v>
      </c>
      <c r="O59" s="29" t="s">
        <v>300</v>
      </c>
    </row>
    <row r="60" customFormat="false" ht="23.85" hidden="false" customHeight="false" outlineLevel="0" collapsed="false">
      <c r="A60" s="29" t="s">
        <v>247</v>
      </c>
      <c r="B60" s="29" t="s">
        <v>286</v>
      </c>
      <c r="C60" s="30" t="n">
        <v>7</v>
      </c>
      <c r="D60" s="29" t="s">
        <v>301</v>
      </c>
      <c r="E60" s="29" t="s">
        <v>302</v>
      </c>
      <c r="F60" s="30" t="n">
        <v>1</v>
      </c>
      <c r="G60" s="29" t="s">
        <v>124</v>
      </c>
      <c r="H60" s="30" t="n">
        <v>10</v>
      </c>
      <c r="I60" s="30" t="n">
        <v>15</v>
      </c>
      <c r="J60" s="29" t="s">
        <v>102</v>
      </c>
      <c r="K60" s="29" t="s">
        <v>103</v>
      </c>
      <c r="L60" s="20"/>
      <c r="M60" s="30" t="n">
        <f aca="false">IF(UPPER(L60)="Y",F60+2,F60)</f>
        <v>1</v>
      </c>
      <c r="N60" s="30" t="n">
        <f aca="false">IF(A60="Home",M60,IF('Start here'!$C$13="",M60,MAX(1,ROUND(M60*'Start here'!$C$13,0))))</f>
        <v>1</v>
      </c>
      <c r="O60" s="29"/>
    </row>
    <row r="61" customFormat="false" ht="23.85" hidden="false" customHeight="false" outlineLevel="0" collapsed="false">
      <c r="A61" s="29" t="s">
        <v>247</v>
      </c>
      <c r="B61" s="29" t="s">
        <v>286</v>
      </c>
      <c r="C61" s="30" t="n">
        <v>8</v>
      </c>
      <c r="D61" s="29" t="s">
        <v>303</v>
      </c>
      <c r="E61" s="29" t="s">
        <v>304</v>
      </c>
      <c r="F61" s="30" t="n">
        <v>1</v>
      </c>
      <c r="G61" s="29" t="s">
        <v>124</v>
      </c>
      <c r="H61" s="30" t="n">
        <v>10</v>
      </c>
      <c r="I61" s="30" t="n">
        <v>15</v>
      </c>
      <c r="J61" s="29" t="s">
        <v>102</v>
      </c>
      <c r="K61" s="29" t="s">
        <v>103</v>
      </c>
      <c r="L61" s="20"/>
      <c r="M61" s="30" t="n">
        <f aca="false">IF(UPPER(L61)="Y",F61+2,F61)</f>
        <v>1</v>
      </c>
      <c r="N61" s="30" t="n">
        <f aca="false">IF(A61="Home",M61,IF('Start here'!$C$13="",M61,MAX(1,ROUND(M61*'Start here'!$C$13,0))))</f>
        <v>1</v>
      </c>
      <c r="O61" s="29"/>
    </row>
    <row r="62" customFormat="false" ht="15" hidden="false" customHeight="false" outlineLevel="0" collapsed="false">
      <c r="A62" s="29" t="s">
        <v>247</v>
      </c>
      <c r="B62" s="29" t="s">
        <v>286</v>
      </c>
      <c r="C62" s="30" t="n">
        <v>9</v>
      </c>
      <c r="D62" s="29" t="s">
        <v>305</v>
      </c>
      <c r="E62" s="29" t="s">
        <v>306</v>
      </c>
      <c r="F62" s="30" t="n">
        <v>2</v>
      </c>
      <c r="G62" s="29" t="s">
        <v>307</v>
      </c>
      <c r="H62" s="30" t="n">
        <v>15</v>
      </c>
      <c r="I62" s="30" t="n">
        <v>25</v>
      </c>
      <c r="J62" s="29" t="s">
        <v>276</v>
      </c>
      <c r="K62" s="29" t="s">
        <v>277</v>
      </c>
      <c r="L62" s="20"/>
      <c r="M62" s="30" t="n">
        <f aca="false">IF(UPPER(L62)="Y",F62+2,F62)</f>
        <v>2</v>
      </c>
      <c r="N62" s="30" t="n">
        <f aca="false">IF(A62="Home",M62,IF('Start here'!$C$13="",M62,MAX(1,ROUND(M62*'Start here'!$C$13,0))))</f>
        <v>1</v>
      </c>
      <c r="O62" s="29" t="s">
        <v>308</v>
      </c>
    </row>
    <row r="63" customFormat="false" ht="35.05" hidden="false" customHeight="false" outlineLevel="0" collapsed="false">
      <c r="A63" s="29" t="s">
        <v>247</v>
      </c>
      <c r="B63" s="29" t="s">
        <v>286</v>
      </c>
      <c r="C63" s="30" t="n">
        <v>10</v>
      </c>
      <c r="D63" s="29" t="s">
        <v>309</v>
      </c>
      <c r="E63" s="29" t="s">
        <v>310</v>
      </c>
      <c r="F63" s="30" t="n">
        <v>2</v>
      </c>
      <c r="G63" s="29" t="s">
        <v>284</v>
      </c>
      <c r="H63" s="30" t="n">
        <v>12</v>
      </c>
      <c r="I63" s="30" t="n">
        <v>20</v>
      </c>
      <c r="J63" s="29" t="s">
        <v>111</v>
      </c>
      <c r="K63" s="29" t="s">
        <v>311</v>
      </c>
      <c r="L63" s="20"/>
      <c r="M63" s="30" t="n">
        <f aca="false">IF(UPPER(L63)="Y",F63+2,F63)</f>
        <v>2</v>
      </c>
      <c r="N63" s="30" t="n">
        <f aca="false">IF(A63="Home",M63,IF('Start here'!$C$13="",M63,MAX(1,ROUND(M63*'Start here'!$C$13,0))))</f>
        <v>1</v>
      </c>
      <c r="O63" s="29" t="s">
        <v>312</v>
      </c>
    </row>
    <row r="64" customFormat="false" ht="15" hidden="false" customHeight="false" outlineLevel="0" collapsed="false">
      <c r="A64" s="29" t="s">
        <v>247</v>
      </c>
      <c r="B64" s="29" t="s">
        <v>286</v>
      </c>
      <c r="C64" s="30" t="n">
        <v>11</v>
      </c>
      <c r="D64" s="29" t="s">
        <v>313</v>
      </c>
      <c r="E64" s="29" t="s">
        <v>314</v>
      </c>
      <c r="F64" s="30" t="n">
        <v>2</v>
      </c>
      <c r="G64" s="29" t="s">
        <v>124</v>
      </c>
      <c r="H64" s="30" t="n">
        <v>10</v>
      </c>
      <c r="I64" s="30" t="n">
        <v>15</v>
      </c>
      <c r="J64" s="29" t="s">
        <v>111</v>
      </c>
      <c r="K64" s="29" t="s">
        <v>103</v>
      </c>
      <c r="L64" s="20"/>
      <c r="M64" s="30" t="n">
        <f aca="false">IF(UPPER(L64)="Y",F64+2,F64)</f>
        <v>2</v>
      </c>
      <c r="N64" s="30" t="n">
        <f aca="false">IF(A64="Home",M64,IF('Start here'!$C$13="",M64,MAX(1,ROUND(M64*'Start here'!$C$13,0))))</f>
        <v>1</v>
      </c>
      <c r="O64" s="29" t="s">
        <v>315</v>
      </c>
    </row>
    <row r="65" customFormat="false" ht="23.85" hidden="false" customHeight="false" outlineLevel="0" collapsed="false">
      <c r="A65" s="29" t="s">
        <v>247</v>
      </c>
      <c r="B65" s="29" t="s">
        <v>286</v>
      </c>
      <c r="C65" s="30" t="n">
        <v>12</v>
      </c>
      <c r="D65" s="29" t="s">
        <v>316</v>
      </c>
      <c r="E65" s="29" t="s">
        <v>317</v>
      </c>
      <c r="F65" s="30" t="n">
        <v>2</v>
      </c>
      <c r="G65" s="29" t="s">
        <v>318</v>
      </c>
      <c r="H65" s="30" t="n">
        <v>20</v>
      </c>
      <c r="I65" s="30" t="n">
        <v>45</v>
      </c>
      <c r="J65" s="29" t="s">
        <v>319</v>
      </c>
      <c r="K65" s="29" t="s">
        <v>320</v>
      </c>
      <c r="L65" s="20"/>
      <c r="M65" s="30" t="n">
        <f aca="false">IF(UPPER(L65)="Y",F65+2,F65)</f>
        <v>2</v>
      </c>
      <c r="N65" s="30" t="n">
        <f aca="false">IF(A65="Home",M65,IF('Start here'!$C$13="",M65,MAX(1,ROUND(M65*'Start here'!$C$13,0))))</f>
        <v>1</v>
      </c>
      <c r="O65" s="29" t="s">
        <v>321</v>
      </c>
    </row>
    <row r="66" customFormat="false" ht="15" hidden="false" customHeight="false" outlineLevel="0" collapsed="false">
      <c r="A66" s="31" t="s">
        <v>45</v>
      </c>
      <c r="B66" s="31" t="s">
        <v>45</v>
      </c>
      <c r="C66" s="32" t="n">
        <v>1</v>
      </c>
      <c r="D66" s="31" t="s">
        <v>322</v>
      </c>
      <c r="E66" s="31" t="s">
        <v>323</v>
      </c>
      <c r="F66" s="32" t="n">
        <v>2</v>
      </c>
      <c r="G66" s="31" t="s">
        <v>324</v>
      </c>
      <c r="H66" s="32" t="n">
        <v>10</v>
      </c>
      <c r="I66" s="32" t="n">
        <v>15</v>
      </c>
      <c r="J66" s="31" t="s">
        <v>325</v>
      </c>
      <c r="K66" s="31" t="s">
        <v>326</v>
      </c>
      <c r="L66" s="20"/>
      <c r="M66" s="32" t="n">
        <f aca="false">IF(UPPER(L66)="Y",F66+2,F66)</f>
        <v>2</v>
      </c>
      <c r="N66" s="32" t="n">
        <f aca="false">IF(A66="Home",M66,IF('Start here'!$C$13="",M66,MAX(1,ROUND(M66*'Start here'!$C$13,0))))</f>
        <v>2</v>
      </c>
      <c r="O66" s="31" t="s">
        <v>327</v>
      </c>
    </row>
    <row r="67" customFormat="false" ht="15" hidden="false" customHeight="false" outlineLevel="0" collapsed="false">
      <c r="A67" s="31" t="s">
        <v>45</v>
      </c>
      <c r="B67" s="31" t="s">
        <v>45</v>
      </c>
      <c r="C67" s="32" t="n">
        <v>2</v>
      </c>
      <c r="D67" s="31" t="s">
        <v>328</v>
      </c>
      <c r="E67" s="31" t="s">
        <v>329</v>
      </c>
      <c r="F67" s="32" t="n">
        <v>2</v>
      </c>
      <c r="G67" s="31" t="s">
        <v>330</v>
      </c>
      <c r="H67" s="32" t="n">
        <v>10</v>
      </c>
      <c r="I67" s="32" t="n">
        <v>20</v>
      </c>
      <c r="J67" s="31" t="s">
        <v>331</v>
      </c>
      <c r="K67" s="31" t="s">
        <v>332</v>
      </c>
      <c r="L67" s="20"/>
      <c r="M67" s="32" t="n">
        <f aca="false">IF(UPPER(L67)="Y",F67+2,F67)</f>
        <v>2</v>
      </c>
      <c r="N67" s="32" t="n">
        <f aca="false">IF(A67="Home",M67,IF('Start here'!$C$13="",M67,MAX(1,ROUND(M67*'Start here'!$C$13,0))))</f>
        <v>2</v>
      </c>
      <c r="O67" s="31"/>
    </row>
    <row r="68" customFormat="false" ht="15" hidden="false" customHeight="false" outlineLevel="0" collapsed="false">
      <c r="A68" s="31" t="s">
        <v>45</v>
      </c>
      <c r="B68" s="31" t="s">
        <v>45</v>
      </c>
      <c r="C68" s="32" t="n">
        <v>3</v>
      </c>
      <c r="D68" s="31" t="s">
        <v>333</v>
      </c>
      <c r="E68" s="31" t="s">
        <v>334</v>
      </c>
      <c r="F68" s="32" t="n">
        <v>2</v>
      </c>
      <c r="G68" s="31" t="s">
        <v>119</v>
      </c>
      <c r="H68" s="32" t="n">
        <v>6</v>
      </c>
      <c r="I68" s="32" t="n">
        <v>10</v>
      </c>
      <c r="J68" s="31" t="s">
        <v>102</v>
      </c>
      <c r="K68" s="31" t="s">
        <v>103</v>
      </c>
      <c r="L68" s="20"/>
      <c r="M68" s="32" t="n">
        <f aca="false">IF(UPPER(L68)="Y",F68+2,F68)</f>
        <v>2</v>
      </c>
      <c r="N68" s="32" t="n">
        <f aca="false">IF(A68="Home",M68,IF('Start here'!$C$13="",M68,MAX(1,ROUND(M68*'Start here'!$C$13,0))))</f>
        <v>2</v>
      </c>
      <c r="O68" s="31"/>
    </row>
    <row r="69" customFormat="false" ht="15" hidden="false" customHeight="false" outlineLevel="0" collapsed="false">
      <c r="A69" s="31" t="s">
        <v>45</v>
      </c>
      <c r="B69" s="31" t="s">
        <v>45</v>
      </c>
      <c r="C69" s="32" t="n">
        <v>4</v>
      </c>
      <c r="D69" s="31" t="s">
        <v>335</v>
      </c>
      <c r="E69" s="31" t="s">
        <v>336</v>
      </c>
      <c r="F69" s="32" t="n">
        <v>2</v>
      </c>
      <c r="G69" s="31" t="s">
        <v>337</v>
      </c>
      <c r="H69" s="32" t="n">
        <v>20</v>
      </c>
      <c r="I69" s="32" t="n">
        <v>30</v>
      </c>
      <c r="J69" s="31" t="s">
        <v>111</v>
      </c>
      <c r="K69" s="31" t="s">
        <v>338</v>
      </c>
      <c r="L69" s="20"/>
      <c r="M69" s="32" t="n">
        <f aca="false">IF(UPPER(L69)="Y",F69+2,F69)</f>
        <v>2</v>
      </c>
      <c r="N69" s="32" t="n">
        <f aca="false">IF(A69="Home",M69,IF('Start here'!$C$13="",M69,MAX(1,ROUND(M69*'Start here'!$C$13,0))))</f>
        <v>2</v>
      </c>
      <c r="O69" s="31"/>
    </row>
    <row r="70" customFormat="false" ht="23.85" hidden="false" customHeight="false" outlineLevel="0" collapsed="false">
      <c r="A70" s="31" t="s">
        <v>45</v>
      </c>
      <c r="B70" s="31" t="s">
        <v>45</v>
      </c>
      <c r="C70" s="32" t="n">
        <v>5</v>
      </c>
      <c r="D70" s="31" t="s">
        <v>339</v>
      </c>
      <c r="E70" s="31" t="s">
        <v>340</v>
      </c>
      <c r="F70" s="32" t="n">
        <v>2</v>
      </c>
      <c r="G70" s="31" t="s">
        <v>341</v>
      </c>
      <c r="H70" s="32" t="n">
        <v>15</v>
      </c>
      <c r="I70" s="32" t="n">
        <v>25</v>
      </c>
      <c r="J70" s="31" t="s">
        <v>111</v>
      </c>
      <c r="K70" s="31" t="s">
        <v>338</v>
      </c>
      <c r="L70" s="20"/>
      <c r="M70" s="32" t="n">
        <f aca="false">IF(UPPER(L70)="Y",F70+2,F70)</f>
        <v>2</v>
      </c>
      <c r="N70" s="32" t="n">
        <f aca="false">IF(A70="Home",M70,IF('Start here'!$C$13="",M70,MAX(1,ROUND(M70*'Start here'!$C$13,0))))</f>
        <v>2</v>
      </c>
      <c r="O70" s="31" t="s">
        <v>342</v>
      </c>
    </row>
    <row r="71" customFormat="false" ht="15" hidden="false" customHeight="false" outlineLevel="0" collapsed="false">
      <c r="A71" s="31" t="s">
        <v>45</v>
      </c>
      <c r="B71" s="31" t="s">
        <v>45</v>
      </c>
      <c r="C71" s="32" t="n">
        <v>6</v>
      </c>
      <c r="D71" s="31" t="s">
        <v>343</v>
      </c>
      <c r="E71" s="31" t="s">
        <v>344</v>
      </c>
      <c r="F71" s="32" t="n">
        <v>2</v>
      </c>
      <c r="G71" s="31" t="s">
        <v>281</v>
      </c>
      <c r="H71" s="32" t="n">
        <v>15</v>
      </c>
      <c r="I71" s="32" t="n">
        <v>20</v>
      </c>
      <c r="J71" s="31" t="s">
        <v>111</v>
      </c>
      <c r="K71" s="31" t="s">
        <v>338</v>
      </c>
      <c r="L71" s="20"/>
      <c r="M71" s="32" t="n">
        <f aca="false">IF(UPPER(L71)="Y",F71+2,F71)</f>
        <v>2</v>
      </c>
      <c r="N71" s="32" t="n">
        <f aca="false">IF(A71="Home",M71,IF('Start here'!$C$13="",M71,MAX(1,ROUND(M71*'Start here'!$C$13,0))))</f>
        <v>2</v>
      </c>
      <c r="O71" s="31"/>
    </row>
    <row r="72" customFormat="false" ht="15" hidden="false" customHeight="false" outlineLevel="0" collapsed="false">
      <c r="A72" s="31" t="s">
        <v>45</v>
      </c>
      <c r="B72" s="31" t="s">
        <v>45</v>
      </c>
      <c r="C72" s="32" t="n">
        <v>7</v>
      </c>
      <c r="D72" s="31" t="s">
        <v>345</v>
      </c>
      <c r="E72" s="31" t="s">
        <v>346</v>
      </c>
      <c r="F72" s="32" t="n">
        <v>2</v>
      </c>
      <c r="G72" s="31" t="s">
        <v>347</v>
      </c>
      <c r="H72" s="32" t="n">
        <v>15</v>
      </c>
      <c r="I72" s="32" t="n">
        <v>20</v>
      </c>
      <c r="J72" s="31" t="s">
        <v>111</v>
      </c>
      <c r="K72" s="31" t="s">
        <v>348</v>
      </c>
      <c r="L72" s="20"/>
      <c r="M72" s="32" t="n">
        <f aca="false">IF(UPPER(L72)="Y",F72+2,F72)</f>
        <v>2</v>
      </c>
      <c r="N72" s="32" t="n">
        <f aca="false">IF(A72="Home",M72,IF('Start here'!$C$13="",M72,MAX(1,ROUND(M72*'Start here'!$C$13,0))))</f>
        <v>2</v>
      </c>
      <c r="O72" s="31" t="s">
        <v>349</v>
      </c>
    </row>
    <row r="73" customFormat="false" ht="23.85" hidden="false" customHeight="false" outlineLevel="0" collapsed="false">
      <c r="A73" s="31" t="s">
        <v>45</v>
      </c>
      <c r="B73" s="31" t="s">
        <v>45</v>
      </c>
      <c r="C73" s="32" t="n">
        <v>8</v>
      </c>
      <c r="D73" s="31" t="s">
        <v>350</v>
      </c>
      <c r="E73" s="31" t="s">
        <v>351</v>
      </c>
      <c r="F73" s="32" t="n">
        <v>1</v>
      </c>
      <c r="G73" s="31" t="s">
        <v>352</v>
      </c>
      <c r="H73" s="32" t="n">
        <v>10</v>
      </c>
      <c r="I73" s="32" t="n">
        <v>15</v>
      </c>
      <c r="J73" s="31" t="s">
        <v>353</v>
      </c>
      <c r="K73" s="31" t="s">
        <v>354</v>
      </c>
      <c r="L73" s="20"/>
      <c r="M73" s="32" t="n">
        <f aca="false">IF(UPPER(L73)="Y",F73+2,F73)</f>
        <v>1</v>
      </c>
      <c r="N73" s="32" t="n">
        <f aca="false">IF(A73="Home",M73,IF('Start here'!$C$13="",M73,MAX(1,ROUND(M73*'Start here'!$C$13,0))))</f>
        <v>1</v>
      </c>
      <c r="O73" s="31" t="s">
        <v>355</v>
      </c>
    </row>
    <row r="74" customFormat="false" ht="15" hidden="false" customHeight="false" outlineLevel="0" collapsed="false">
      <c r="A74" s="31" t="s">
        <v>45</v>
      </c>
      <c r="B74" s="31" t="s">
        <v>45</v>
      </c>
      <c r="C74" s="32" t="n">
        <v>9</v>
      </c>
      <c r="D74" s="31" t="s">
        <v>356</v>
      </c>
      <c r="E74" s="31" t="s">
        <v>357</v>
      </c>
      <c r="F74" s="32" t="n">
        <v>3</v>
      </c>
      <c r="G74" s="31" t="s">
        <v>358</v>
      </c>
      <c r="H74" s="32" t="n">
        <v>10</v>
      </c>
      <c r="I74" s="32" t="n">
        <v>20</v>
      </c>
      <c r="J74" s="31" t="s">
        <v>359</v>
      </c>
      <c r="K74" s="31" t="s">
        <v>332</v>
      </c>
      <c r="L74" s="20"/>
      <c r="M74" s="32" t="n">
        <f aca="false">IF(UPPER(L74)="Y",F74+2,F74)</f>
        <v>3</v>
      </c>
      <c r="N74" s="32" t="n">
        <f aca="false">IF(A74="Home",M74,IF('Start here'!$C$13="",M74,MAX(1,ROUND(M74*'Start here'!$C$13,0))))</f>
        <v>3</v>
      </c>
      <c r="O74" s="31" t="s">
        <v>360</v>
      </c>
    </row>
    <row r="75" customFormat="false" ht="23.85" hidden="false" customHeight="false" outlineLevel="0" collapsed="false">
      <c r="A75" s="31" t="s">
        <v>45</v>
      </c>
      <c r="B75" s="31" t="s">
        <v>45</v>
      </c>
      <c r="C75" s="32" t="n">
        <v>10</v>
      </c>
      <c r="D75" s="31" t="s">
        <v>361</v>
      </c>
      <c r="E75" s="31" t="s">
        <v>362</v>
      </c>
      <c r="F75" s="32" t="n">
        <v>2</v>
      </c>
      <c r="G75" s="31" t="s">
        <v>363</v>
      </c>
      <c r="H75" s="32" t="n">
        <v>8</v>
      </c>
      <c r="I75" s="32" t="n">
        <v>15</v>
      </c>
      <c r="J75" s="31" t="s">
        <v>325</v>
      </c>
      <c r="K75" s="31" t="s">
        <v>364</v>
      </c>
      <c r="L75" s="20"/>
      <c r="M75" s="32" t="n">
        <f aca="false">IF(UPPER(L75)="Y",F75+2,F75)</f>
        <v>2</v>
      </c>
      <c r="N75" s="32" t="n">
        <f aca="false">IF(A75="Home",M75,IF('Start here'!$C$13="",M75,MAX(1,ROUND(M75*'Start here'!$C$13,0))))</f>
        <v>2</v>
      </c>
      <c r="O75" s="31" t="s">
        <v>365</v>
      </c>
    </row>
    <row r="77" customFormat="false" ht="15" hidden="false" customHeight="false" outlineLevel="0" collapsed="false">
      <c r="D77" s="13" t="s">
        <v>366</v>
      </c>
      <c r="F77" s="13" t="n">
        <f aca="false">COUNTIF(L2:L75,"Y")</f>
        <v>0</v>
      </c>
    </row>
    <row r="78" customFormat="false" ht="15" hidden="false" customHeight="false" outlineLevel="0" collapsed="false">
      <c r="D78" s="33" t="str">
        <f aca="false">IF(F77&gt;5,"Too many priorities: pick 4–5","")</f>
        <v/>
      </c>
    </row>
    <row r="79" customFormat="false" ht="15" hidden="false" customHeight="false" outlineLevel="0" collapsed="false">
      <c r="D79" s="2" t="s">
        <v>367</v>
      </c>
    </row>
  </sheetData>
  <dataValidations count="1">
    <dataValidation allowBlank="true" errorStyle="stop" operator="between" showDropDown="false" showErrorMessage="false" showInputMessage="false" sqref="L2:L75" type="list">
      <formula1>"Y,"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52"/>
  </cols>
  <sheetData>
    <row r="1" customFormat="false" ht="30" hidden="false" customHeight="true" outlineLevel="0" collapsed="false">
      <c r="A1" s="17" t="s">
        <v>80</v>
      </c>
      <c r="B1" s="17" t="s">
        <v>368</v>
      </c>
      <c r="C1" s="17" t="s">
        <v>8</v>
      </c>
      <c r="D1" s="17" t="s">
        <v>9</v>
      </c>
      <c r="E1" s="17" t="s">
        <v>12</v>
      </c>
      <c r="F1" s="17" t="s">
        <v>13</v>
      </c>
      <c r="G1" s="17" t="s">
        <v>369</v>
      </c>
      <c r="H1" s="17" t="s">
        <v>370</v>
      </c>
      <c r="I1" s="17" t="s">
        <v>371</v>
      </c>
      <c r="J1" s="17" t="s">
        <v>14</v>
      </c>
      <c r="K1" s="17" t="s">
        <v>372</v>
      </c>
      <c r="L1" s="17" t="s">
        <v>15</v>
      </c>
    </row>
    <row r="2" customFormat="false" ht="15" hidden="false" customHeight="false" outlineLevel="0" collapsed="false">
      <c r="A2" s="34" t="n">
        <v>1</v>
      </c>
      <c r="B2" s="35" t="n">
        <f aca="false">'Start here'!$C$5+7*(A2-1)</f>
        <v>46307</v>
      </c>
      <c r="C2" s="36" t="s">
        <v>373</v>
      </c>
      <c r="D2" s="36" t="n">
        <v>1</v>
      </c>
      <c r="E2" s="37" t="n">
        <v>0.5</v>
      </c>
      <c r="F2" s="36" t="n">
        <v>6</v>
      </c>
      <c r="G2" s="36" t="n">
        <v>5</v>
      </c>
      <c r="H2" s="36" t="n">
        <v>6</v>
      </c>
      <c r="I2" s="37" t="n">
        <v>0.1</v>
      </c>
      <c r="J2" s="38" t="s">
        <v>374</v>
      </c>
      <c r="K2" s="34" t="str">
        <f aca="false">IF(ISODD(A2),"A","B")</f>
        <v>A</v>
      </c>
      <c r="L2" s="38" t="s">
        <v>375</v>
      </c>
    </row>
    <row r="3" customFormat="false" ht="15" hidden="false" customHeight="false" outlineLevel="0" collapsed="false">
      <c r="A3" s="11" t="n">
        <v>2</v>
      </c>
      <c r="B3" s="39" t="n">
        <f aca="false">'Start here'!$C$5+7*(A3-1)</f>
        <v>46314</v>
      </c>
      <c r="C3" s="40" t="s">
        <v>373</v>
      </c>
      <c r="D3" s="40" t="n">
        <v>2</v>
      </c>
      <c r="E3" s="41" t="n">
        <v>0.6</v>
      </c>
      <c r="F3" s="40" t="n">
        <v>6.5</v>
      </c>
      <c r="G3" s="40" t="n">
        <v>5</v>
      </c>
      <c r="H3" s="40" t="n">
        <v>6.5</v>
      </c>
      <c r="I3" s="41" t="n">
        <v>0.1</v>
      </c>
      <c r="J3" s="42" t="s">
        <v>374</v>
      </c>
      <c r="K3" s="11" t="str">
        <f aca="false">IF(ISODD(A3),"A","B")</f>
        <v>B</v>
      </c>
      <c r="L3" s="42" t="s">
        <v>376</v>
      </c>
    </row>
    <row r="4" customFormat="false" ht="15" hidden="false" customHeight="false" outlineLevel="0" collapsed="false">
      <c r="A4" s="11" t="n">
        <v>3</v>
      </c>
      <c r="B4" s="39" t="n">
        <f aca="false">'Start here'!$C$5+7*(A4-1)</f>
        <v>46321</v>
      </c>
      <c r="C4" s="40" t="s">
        <v>373</v>
      </c>
      <c r="D4" s="40" t="n">
        <v>3</v>
      </c>
      <c r="E4" s="41" t="n">
        <v>0.7</v>
      </c>
      <c r="F4" s="40" t="n">
        <v>7</v>
      </c>
      <c r="G4" s="40" t="n">
        <v>5</v>
      </c>
      <c r="H4" s="40" t="n">
        <v>7</v>
      </c>
      <c r="I4" s="41" t="n">
        <v>0.1</v>
      </c>
      <c r="J4" s="42" t="s">
        <v>374</v>
      </c>
      <c r="K4" s="11" t="str">
        <f aca="false">IF(ISODD(A4),"A","B")</f>
        <v>A</v>
      </c>
      <c r="L4" s="42"/>
    </row>
    <row r="5" customFormat="false" ht="15" hidden="false" customHeight="false" outlineLevel="0" collapsed="false">
      <c r="A5" s="11" t="n">
        <v>4</v>
      </c>
      <c r="B5" s="39" t="n">
        <f aca="false">'Start here'!$C$5+7*(A5-1)</f>
        <v>46328</v>
      </c>
      <c r="C5" s="40" t="s">
        <v>373</v>
      </c>
      <c r="D5" s="40" t="n">
        <v>4</v>
      </c>
      <c r="E5" s="41" t="n">
        <v>0.8</v>
      </c>
      <c r="F5" s="40" t="n">
        <v>7</v>
      </c>
      <c r="G5" s="40" t="n">
        <v>5</v>
      </c>
      <c r="H5" s="40" t="n">
        <v>7</v>
      </c>
      <c r="I5" s="41" t="n">
        <v>0.1</v>
      </c>
      <c r="J5" s="42" t="s">
        <v>374</v>
      </c>
      <c r="K5" s="11" t="str">
        <f aca="false">IF(ISODD(A5),"A","B")</f>
        <v>B</v>
      </c>
      <c r="L5" s="42"/>
    </row>
    <row r="6" customFormat="false" ht="15" hidden="false" customHeight="false" outlineLevel="0" collapsed="false">
      <c r="A6" s="11" t="n">
        <v>5</v>
      </c>
      <c r="B6" s="39" t="n">
        <f aca="false">'Start here'!$C$5+7*(A6-1)</f>
        <v>46335</v>
      </c>
      <c r="C6" s="40" t="s">
        <v>373</v>
      </c>
      <c r="D6" s="40" t="n">
        <v>5</v>
      </c>
      <c r="E6" s="41" t="n">
        <v>0.9</v>
      </c>
      <c r="F6" s="40" t="n">
        <v>7.5</v>
      </c>
      <c r="G6" s="40" t="n">
        <v>5</v>
      </c>
      <c r="H6" s="40" t="n">
        <v>7.5</v>
      </c>
      <c r="I6" s="41" t="n">
        <v>0.1</v>
      </c>
      <c r="J6" s="42" t="s">
        <v>374</v>
      </c>
      <c r="K6" s="11" t="str">
        <f aca="false">IF(ISODD(A6),"A","B")</f>
        <v>A</v>
      </c>
      <c r="L6" s="42"/>
    </row>
    <row r="7" customFormat="false" ht="15" hidden="false" customHeight="false" outlineLevel="0" collapsed="false">
      <c r="A7" s="11" t="n">
        <v>6</v>
      </c>
      <c r="B7" s="39" t="n">
        <f aca="false">'Start here'!$C$5+7*(A7-1)</f>
        <v>46342</v>
      </c>
      <c r="C7" s="40" t="s">
        <v>373</v>
      </c>
      <c r="D7" s="40" t="n">
        <v>6</v>
      </c>
      <c r="E7" s="41" t="n">
        <v>1</v>
      </c>
      <c r="F7" s="40" t="n">
        <v>8</v>
      </c>
      <c r="G7" s="40" t="n">
        <v>5</v>
      </c>
      <c r="H7" s="40" t="n">
        <v>8</v>
      </c>
      <c r="I7" s="41" t="n">
        <v>0.1</v>
      </c>
      <c r="J7" s="42" t="s">
        <v>374</v>
      </c>
      <c r="K7" s="11" t="str">
        <f aca="false">IF(ISODD(A7),"A","B")</f>
        <v>B</v>
      </c>
      <c r="L7" s="42" t="s">
        <v>377</v>
      </c>
    </row>
    <row r="8" customFormat="false" ht="15" hidden="false" customHeight="false" outlineLevel="0" collapsed="false">
      <c r="A8" s="34" t="n">
        <v>7</v>
      </c>
      <c r="B8" s="35" t="n">
        <f aca="false">'Start here'!$C$5+7*(A8-1)</f>
        <v>46349</v>
      </c>
      <c r="C8" s="36" t="s">
        <v>373</v>
      </c>
      <c r="D8" s="36" t="n">
        <v>7</v>
      </c>
      <c r="E8" s="37" t="n">
        <v>0.55</v>
      </c>
      <c r="F8" s="36" t="n">
        <v>6</v>
      </c>
      <c r="G8" s="36" t="n">
        <v>5</v>
      </c>
      <c r="H8" s="36" t="n">
        <v>6</v>
      </c>
      <c r="I8" s="37" t="n">
        <v>0.1</v>
      </c>
      <c r="J8" s="38" t="s">
        <v>378</v>
      </c>
      <c r="K8" s="34" t="str">
        <f aca="false">IF(ISODD(A8),"A","B")</f>
        <v>A</v>
      </c>
      <c r="L8" s="38" t="s">
        <v>379</v>
      </c>
    </row>
    <row r="9" customFormat="false" ht="23.85" hidden="false" customHeight="false" outlineLevel="0" collapsed="false">
      <c r="A9" s="11" t="n">
        <v>8</v>
      </c>
      <c r="B9" s="39" t="n">
        <f aca="false">'Start here'!$C$5+7*(A9-1)</f>
        <v>46356</v>
      </c>
      <c r="C9" s="40" t="s">
        <v>380</v>
      </c>
      <c r="D9" s="40" t="n">
        <v>1</v>
      </c>
      <c r="E9" s="41" t="n">
        <v>1</v>
      </c>
      <c r="F9" s="40" t="n">
        <v>8</v>
      </c>
      <c r="G9" s="40" t="n">
        <v>5</v>
      </c>
      <c r="H9" s="40" t="n">
        <v>8</v>
      </c>
      <c r="I9" s="41" t="n">
        <v>0.1</v>
      </c>
      <c r="J9" s="42" t="s">
        <v>374</v>
      </c>
      <c r="K9" s="11" t="str">
        <f aca="false">IF(ISODD(A9),"A","B")</f>
        <v>B</v>
      </c>
      <c r="L9" s="42" t="s">
        <v>381</v>
      </c>
    </row>
    <row r="10" customFormat="false" ht="15" hidden="false" customHeight="false" outlineLevel="0" collapsed="false">
      <c r="A10" s="11" t="n">
        <v>9</v>
      </c>
      <c r="B10" s="39" t="n">
        <f aca="false">'Start here'!$C$5+7*(A10-1)</f>
        <v>46363</v>
      </c>
      <c r="C10" s="40" t="s">
        <v>380</v>
      </c>
      <c r="D10" s="40" t="n">
        <v>2</v>
      </c>
      <c r="E10" s="41" t="n">
        <v>1</v>
      </c>
      <c r="F10" s="40" t="n">
        <v>8</v>
      </c>
      <c r="G10" s="40" t="n">
        <v>3</v>
      </c>
      <c r="H10" s="40" t="n">
        <v>8</v>
      </c>
      <c r="I10" s="41" t="n">
        <v>0.1</v>
      </c>
      <c r="J10" s="42" t="s">
        <v>382</v>
      </c>
      <c r="K10" s="11" t="str">
        <f aca="false">IF(ISODD(A10),"A","B")</f>
        <v>A</v>
      </c>
      <c r="L10" s="42"/>
    </row>
    <row r="11" customFormat="false" ht="15" hidden="false" customHeight="false" outlineLevel="0" collapsed="false">
      <c r="A11" s="11" t="n">
        <v>10</v>
      </c>
      <c r="B11" s="39" t="n">
        <f aca="false">'Start here'!$C$5+7*(A11-1)</f>
        <v>46370</v>
      </c>
      <c r="C11" s="40" t="s">
        <v>380</v>
      </c>
      <c r="D11" s="40" t="n">
        <v>3</v>
      </c>
      <c r="E11" s="41" t="n">
        <v>1</v>
      </c>
      <c r="F11" s="40" t="n">
        <v>8</v>
      </c>
      <c r="G11" s="40" t="n">
        <v>2</v>
      </c>
      <c r="H11" s="40" t="n">
        <v>8.5</v>
      </c>
      <c r="I11" s="41" t="n">
        <v>0.12</v>
      </c>
      <c r="J11" s="42" t="s">
        <v>382</v>
      </c>
      <c r="K11" s="11" t="str">
        <f aca="false">IF(ISODD(A11),"A","B")</f>
        <v>B</v>
      </c>
      <c r="L11" s="42"/>
    </row>
    <row r="12" customFormat="false" ht="15" hidden="false" customHeight="false" outlineLevel="0" collapsed="false">
      <c r="A12" s="11" t="n">
        <v>11</v>
      </c>
      <c r="B12" s="39" t="n">
        <f aca="false">'Start here'!$C$5+7*(A12-1)</f>
        <v>46377</v>
      </c>
      <c r="C12" s="40" t="s">
        <v>380</v>
      </c>
      <c r="D12" s="40" t="n">
        <v>4</v>
      </c>
      <c r="E12" s="41" t="n">
        <v>1</v>
      </c>
      <c r="F12" s="40" t="n">
        <v>8</v>
      </c>
      <c r="G12" s="40" t="n">
        <v>5</v>
      </c>
      <c r="H12" s="40" t="n">
        <v>8</v>
      </c>
      <c r="I12" s="41" t="n">
        <v>0.1</v>
      </c>
      <c r="J12" s="42" t="s">
        <v>374</v>
      </c>
      <c r="K12" s="11" t="str">
        <f aca="false">IF(ISODD(A12),"A","B")</f>
        <v>A</v>
      </c>
      <c r="L12" s="42"/>
    </row>
    <row r="13" customFormat="false" ht="15" hidden="false" customHeight="false" outlineLevel="0" collapsed="false">
      <c r="A13" s="11" t="n">
        <v>12</v>
      </c>
      <c r="B13" s="39" t="n">
        <f aca="false">'Start here'!$C$5+7*(A13-1)</f>
        <v>46384</v>
      </c>
      <c r="C13" s="40" t="s">
        <v>380</v>
      </c>
      <c r="D13" s="40" t="n">
        <v>5</v>
      </c>
      <c r="E13" s="41" t="n">
        <v>1</v>
      </c>
      <c r="F13" s="40" t="n">
        <v>8</v>
      </c>
      <c r="G13" s="40" t="n">
        <v>3</v>
      </c>
      <c r="H13" s="40" t="n">
        <v>8</v>
      </c>
      <c r="I13" s="41" t="n">
        <v>0.1</v>
      </c>
      <c r="J13" s="42" t="s">
        <v>382</v>
      </c>
      <c r="K13" s="11" t="str">
        <f aca="false">IF(ISODD(A13),"A","B")</f>
        <v>B</v>
      </c>
      <c r="L13" s="42"/>
    </row>
    <row r="14" customFormat="false" ht="15" hidden="false" customHeight="false" outlineLevel="0" collapsed="false">
      <c r="A14" s="34" t="n">
        <v>13</v>
      </c>
      <c r="B14" s="35" t="n">
        <f aca="false">'Start here'!$C$5+7*(A14-1)</f>
        <v>46391</v>
      </c>
      <c r="C14" s="36" t="s">
        <v>380</v>
      </c>
      <c r="D14" s="36" t="n">
        <v>6</v>
      </c>
      <c r="E14" s="37" t="n">
        <v>0.55</v>
      </c>
      <c r="F14" s="36" t="n">
        <v>6</v>
      </c>
      <c r="G14" s="36" t="n">
        <v>5</v>
      </c>
      <c r="H14" s="36" t="n">
        <v>6</v>
      </c>
      <c r="I14" s="37" t="n">
        <v>0.1</v>
      </c>
      <c r="J14" s="38" t="s">
        <v>378</v>
      </c>
      <c r="K14" s="34" t="str">
        <f aca="false">IF(ISODD(A14),"A","B")</f>
        <v>A</v>
      </c>
      <c r="L14" s="38" t="s">
        <v>379</v>
      </c>
    </row>
    <row r="15" customFormat="false" ht="15" hidden="false" customHeight="false" outlineLevel="0" collapsed="false">
      <c r="A15" s="11" t="n">
        <v>14</v>
      </c>
      <c r="B15" s="39" t="n">
        <f aca="false">'Start here'!$C$5+7*(A15-1)</f>
        <v>46398</v>
      </c>
      <c r="C15" s="40" t="s">
        <v>380</v>
      </c>
      <c r="D15" s="40" t="n">
        <v>7</v>
      </c>
      <c r="E15" s="41" t="n">
        <v>1</v>
      </c>
      <c r="F15" s="40" t="n">
        <v>8</v>
      </c>
      <c r="G15" s="40" t="n">
        <v>5</v>
      </c>
      <c r="H15" s="40" t="n">
        <v>8</v>
      </c>
      <c r="I15" s="41" t="n">
        <v>0.1</v>
      </c>
      <c r="J15" s="42" t="s">
        <v>374</v>
      </c>
      <c r="K15" s="11" t="str">
        <f aca="false">IF(ISODD(A15),"A","B")</f>
        <v>B</v>
      </c>
      <c r="L15" s="42"/>
    </row>
    <row r="16" customFormat="false" ht="15" hidden="false" customHeight="false" outlineLevel="0" collapsed="false">
      <c r="A16" s="11" t="n">
        <v>15</v>
      </c>
      <c r="B16" s="39" t="n">
        <f aca="false">'Start here'!$C$5+7*(A16-1)</f>
        <v>46405</v>
      </c>
      <c r="C16" s="40" t="s">
        <v>380</v>
      </c>
      <c r="D16" s="40" t="n">
        <v>8</v>
      </c>
      <c r="E16" s="41" t="n">
        <v>1</v>
      </c>
      <c r="F16" s="40" t="n">
        <v>8</v>
      </c>
      <c r="G16" s="40" t="n">
        <v>3</v>
      </c>
      <c r="H16" s="40" t="n">
        <v>8</v>
      </c>
      <c r="I16" s="41" t="n">
        <v>0.1</v>
      </c>
      <c r="J16" s="42" t="s">
        <v>382</v>
      </c>
      <c r="K16" s="11" t="str">
        <f aca="false">IF(ISODD(A16),"A","B")</f>
        <v>A</v>
      </c>
      <c r="L16" s="42"/>
    </row>
    <row r="17" customFormat="false" ht="15" hidden="false" customHeight="false" outlineLevel="0" collapsed="false">
      <c r="A17" s="11" t="n">
        <v>16</v>
      </c>
      <c r="B17" s="39" t="n">
        <f aca="false">'Start here'!$C$5+7*(A17-1)</f>
        <v>46412</v>
      </c>
      <c r="C17" s="40" t="s">
        <v>380</v>
      </c>
      <c r="D17" s="40" t="n">
        <v>9</v>
      </c>
      <c r="E17" s="41" t="n">
        <v>1</v>
      </c>
      <c r="F17" s="40" t="n">
        <v>8</v>
      </c>
      <c r="G17" s="40" t="n">
        <v>2</v>
      </c>
      <c r="H17" s="40" t="n">
        <v>8.5</v>
      </c>
      <c r="I17" s="41" t="n">
        <v>0.12</v>
      </c>
      <c r="J17" s="42" t="s">
        <v>382</v>
      </c>
      <c r="K17" s="11" t="str">
        <f aca="false">IF(ISODD(A17),"A","B")</f>
        <v>B</v>
      </c>
      <c r="L17" s="42"/>
    </row>
    <row r="18" customFormat="false" ht="15" hidden="false" customHeight="false" outlineLevel="0" collapsed="false">
      <c r="A18" s="11" t="n">
        <v>17</v>
      </c>
      <c r="B18" s="39" t="n">
        <f aca="false">'Start here'!$C$5+7*(A18-1)</f>
        <v>46419</v>
      </c>
      <c r="C18" s="40" t="s">
        <v>380</v>
      </c>
      <c r="D18" s="40" t="n">
        <v>10</v>
      </c>
      <c r="E18" s="41" t="n">
        <v>1</v>
      </c>
      <c r="F18" s="40" t="n">
        <v>8</v>
      </c>
      <c r="G18" s="40" t="n">
        <v>5</v>
      </c>
      <c r="H18" s="40" t="n">
        <v>8</v>
      </c>
      <c r="I18" s="41" t="n">
        <v>0.1</v>
      </c>
      <c r="J18" s="42" t="s">
        <v>374</v>
      </c>
      <c r="K18" s="11" t="str">
        <f aca="false">IF(ISODD(A18),"A","B")</f>
        <v>A</v>
      </c>
      <c r="L18" s="42"/>
    </row>
    <row r="19" customFormat="false" ht="23.85" hidden="false" customHeight="false" outlineLevel="0" collapsed="false">
      <c r="A19" s="11" t="n">
        <v>18</v>
      </c>
      <c r="B19" s="39" t="n">
        <f aca="false">'Start here'!$C$5+7*(A19-1)</f>
        <v>46426</v>
      </c>
      <c r="C19" s="40" t="s">
        <v>380</v>
      </c>
      <c r="D19" s="40" t="n">
        <v>11</v>
      </c>
      <c r="E19" s="41" t="n">
        <v>1</v>
      </c>
      <c r="F19" s="40" t="n">
        <v>8</v>
      </c>
      <c r="G19" s="40" t="n">
        <v>1</v>
      </c>
      <c r="H19" s="40" t="n">
        <v>9</v>
      </c>
      <c r="I19" s="41" t="n">
        <v>0.12</v>
      </c>
      <c r="J19" s="42" t="s">
        <v>383</v>
      </c>
      <c r="K19" s="11" t="str">
        <f aca="false">IF(ISODD(A19),"A","B")</f>
        <v>B</v>
      </c>
      <c r="L19" s="42" t="s">
        <v>384</v>
      </c>
    </row>
    <row r="20" customFormat="false" ht="23.85" hidden="false" customHeight="false" outlineLevel="0" collapsed="false">
      <c r="A20" s="34" t="n">
        <v>19</v>
      </c>
      <c r="B20" s="35" t="n">
        <f aca="false">'Start here'!$C$5+7*(A20-1)</f>
        <v>46433</v>
      </c>
      <c r="C20" s="36" t="s">
        <v>380</v>
      </c>
      <c r="D20" s="36" t="n">
        <v>12</v>
      </c>
      <c r="E20" s="37" t="n">
        <v>0.55</v>
      </c>
      <c r="F20" s="36" t="n">
        <v>6</v>
      </c>
      <c r="G20" s="36" t="n">
        <v>5</v>
      </c>
      <c r="H20" s="36" t="n">
        <v>6</v>
      </c>
      <c r="I20" s="37" t="n">
        <v>0.1</v>
      </c>
      <c r="J20" s="38" t="s">
        <v>378</v>
      </c>
      <c r="K20" s="34" t="str">
        <f aca="false">IF(ISODD(A20),"A","B")</f>
        <v>A</v>
      </c>
      <c r="L20" s="38" t="s">
        <v>385</v>
      </c>
    </row>
    <row r="21" customFormat="false" ht="23.85" hidden="false" customHeight="false" outlineLevel="0" collapsed="false">
      <c r="A21" s="11" t="n">
        <v>20</v>
      </c>
      <c r="B21" s="39" t="n">
        <f aca="false">'Start here'!$C$5+7*(A21-1)</f>
        <v>46440</v>
      </c>
      <c r="C21" s="40" t="s">
        <v>386</v>
      </c>
      <c r="D21" s="40" t="n">
        <v>1</v>
      </c>
      <c r="E21" s="41" t="n">
        <v>1</v>
      </c>
      <c r="F21" s="40" t="n">
        <v>8</v>
      </c>
      <c r="G21" s="40" t="n">
        <v>5</v>
      </c>
      <c r="H21" s="40" t="n">
        <v>8</v>
      </c>
      <c r="I21" s="41" t="n">
        <v>0.1</v>
      </c>
      <c r="J21" s="42" t="s">
        <v>374</v>
      </c>
      <c r="K21" s="11" t="str">
        <f aca="false">IF(ISODD(A21),"A","B")</f>
        <v>B</v>
      </c>
      <c r="L21" s="42" t="s">
        <v>387</v>
      </c>
    </row>
    <row r="22" customFormat="false" ht="15" hidden="false" customHeight="false" outlineLevel="0" collapsed="false">
      <c r="A22" s="11" t="n">
        <v>21</v>
      </c>
      <c r="B22" s="39" t="n">
        <f aca="false">'Start here'!$C$5+7*(A22-1)</f>
        <v>46447</v>
      </c>
      <c r="C22" s="40" t="s">
        <v>386</v>
      </c>
      <c r="D22" s="40" t="n">
        <v>2</v>
      </c>
      <c r="E22" s="41" t="n">
        <v>1</v>
      </c>
      <c r="F22" s="40" t="n">
        <v>8</v>
      </c>
      <c r="G22" s="40" t="n">
        <v>3</v>
      </c>
      <c r="H22" s="40" t="n">
        <v>8</v>
      </c>
      <c r="I22" s="41" t="n">
        <v>0.1</v>
      </c>
      <c r="J22" s="42" t="s">
        <v>382</v>
      </c>
      <c r="K22" s="11" t="str">
        <f aca="false">IF(ISODD(A22),"A","B")</f>
        <v>A</v>
      </c>
      <c r="L22" s="42"/>
    </row>
    <row r="23" customFormat="false" ht="15" hidden="false" customHeight="false" outlineLevel="0" collapsed="false">
      <c r="A23" s="11" t="n">
        <v>22</v>
      </c>
      <c r="B23" s="39" t="n">
        <f aca="false">'Start here'!$C$5+7*(A23-1)</f>
        <v>46454</v>
      </c>
      <c r="C23" s="40" t="s">
        <v>386</v>
      </c>
      <c r="D23" s="40" t="n">
        <v>3</v>
      </c>
      <c r="E23" s="41" t="n">
        <v>1</v>
      </c>
      <c r="F23" s="40" t="n">
        <v>8</v>
      </c>
      <c r="G23" s="40" t="n">
        <v>2</v>
      </c>
      <c r="H23" s="40" t="n">
        <v>8.5</v>
      </c>
      <c r="I23" s="41" t="n">
        <v>0.12</v>
      </c>
      <c r="J23" s="42" t="s">
        <v>382</v>
      </c>
      <c r="K23" s="11" t="str">
        <f aca="false">IF(ISODD(A23),"A","B")</f>
        <v>B</v>
      </c>
      <c r="L23" s="42"/>
    </row>
    <row r="24" customFormat="false" ht="15" hidden="false" customHeight="false" outlineLevel="0" collapsed="false">
      <c r="A24" s="11" t="n">
        <v>23</v>
      </c>
      <c r="B24" s="39" t="n">
        <f aca="false">'Start here'!$C$5+7*(A24-1)</f>
        <v>46461</v>
      </c>
      <c r="C24" s="40" t="s">
        <v>386</v>
      </c>
      <c r="D24" s="40" t="n">
        <v>4</v>
      </c>
      <c r="E24" s="41" t="n">
        <v>1</v>
      </c>
      <c r="F24" s="40" t="n">
        <v>8</v>
      </c>
      <c r="G24" s="40" t="n">
        <v>5</v>
      </c>
      <c r="H24" s="40" t="n">
        <v>8</v>
      </c>
      <c r="I24" s="41" t="n">
        <v>0.1</v>
      </c>
      <c r="J24" s="42" t="s">
        <v>374</v>
      </c>
      <c r="K24" s="11" t="str">
        <f aca="false">IF(ISODD(A24),"A","B")</f>
        <v>A</v>
      </c>
      <c r="L24" s="42"/>
    </row>
    <row r="25" customFormat="false" ht="15" hidden="false" customHeight="false" outlineLevel="0" collapsed="false">
      <c r="A25" s="11" t="n">
        <v>24</v>
      </c>
      <c r="B25" s="39" t="n">
        <f aca="false">'Start here'!$C$5+7*(A25-1)</f>
        <v>46468</v>
      </c>
      <c r="C25" s="40" t="s">
        <v>386</v>
      </c>
      <c r="D25" s="40" t="n">
        <v>5</v>
      </c>
      <c r="E25" s="41" t="n">
        <v>1</v>
      </c>
      <c r="F25" s="40" t="n">
        <v>8</v>
      </c>
      <c r="G25" s="40" t="n">
        <v>3</v>
      </c>
      <c r="H25" s="40" t="n">
        <v>8</v>
      </c>
      <c r="I25" s="41" t="n">
        <v>0.1</v>
      </c>
      <c r="J25" s="42" t="s">
        <v>382</v>
      </c>
      <c r="K25" s="11" t="str">
        <f aca="false">IF(ISODD(A25),"A","B")</f>
        <v>B</v>
      </c>
      <c r="L25" s="42"/>
    </row>
    <row r="26" customFormat="false" ht="15" hidden="false" customHeight="false" outlineLevel="0" collapsed="false">
      <c r="A26" s="34" t="n">
        <v>25</v>
      </c>
      <c r="B26" s="35" t="n">
        <f aca="false">'Start here'!$C$5+7*(A26-1)</f>
        <v>46475</v>
      </c>
      <c r="C26" s="36" t="s">
        <v>386</v>
      </c>
      <c r="D26" s="36" t="n">
        <v>6</v>
      </c>
      <c r="E26" s="37" t="n">
        <v>0.55</v>
      </c>
      <c r="F26" s="36" t="n">
        <v>6</v>
      </c>
      <c r="G26" s="36" t="n">
        <v>5</v>
      </c>
      <c r="H26" s="36" t="n">
        <v>6</v>
      </c>
      <c r="I26" s="37" t="n">
        <v>0.1</v>
      </c>
      <c r="J26" s="38" t="s">
        <v>378</v>
      </c>
      <c r="K26" s="34" t="str">
        <f aca="false">IF(ISODD(A26),"A","B")</f>
        <v>A</v>
      </c>
      <c r="L26" s="38" t="s">
        <v>379</v>
      </c>
    </row>
    <row r="27" customFormat="false" ht="15" hidden="false" customHeight="false" outlineLevel="0" collapsed="false">
      <c r="A27" s="11" t="n">
        <v>26</v>
      </c>
      <c r="B27" s="39" t="n">
        <f aca="false">'Start here'!$C$5+7*(A27-1)</f>
        <v>46482</v>
      </c>
      <c r="C27" s="40" t="s">
        <v>386</v>
      </c>
      <c r="D27" s="40" t="n">
        <v>7</v>
      </c>
      <c r="E27" s="41" t="n">
        <v>1</v>
      </c>
      <c r="F27" s="40" t="n">
        <v>8</v>
      </c>
      <c r="G27" s="40" t="n">
        <v>5</v>
      </c>
      <c r="H27" s="40" t="n">
        <v>8</v>
      </c>
      <c r="I27" s="41" t="n">
        <v>0.1</v>
      </c>
      <c r="J27" s="42" t="s">
        <v>374</v>
      </c>
      <c r="K27" s="11" t="str">
        <f aca="false">IF(ISODD(A27),"A","B")</f>
        <v>B</v>
      </c>
      <c r="L27" s="42"/>
    </row>
    <row r="28" customFormat="false" ht="15" hidden="false" customHeight="false" outlineLevel="0" collapsed="false">
      <c r="A28" s="11" t="n">
        <v>27</v>
      </c>
      <c r="B28" s="39" t="n">
        <f aca="false">'Start here'!$C$5+7*(A28-1)</f>
        <v>46489</v>
      </c>
      <c r="C28" s="40" t="s">
        <v>386</v>
      </c>
      <c r="D28" s="40" t="n">
        <v>8</v>
      </c>
      <c r="E28" s="41" t="n">
        <v>1</v>
      </c>
      <c r="F28" s="40" t="n">
        <v>8</v>
      </c>
      <c r="G28" s="40" t="n">
        <v>3</v>
      </c>
      <c r="H28" s="40" t="n">
        <v>8</v>
      </c>
      <c r="I28" s="41" t="n">
        <v>0.1</v>
      </c>
      <c r="J28" s="42" t="s">
        <v>382</v>
      </c>
      <c r="K28" s="11" t="str">
        <f aca="false">IF(ISODD(A28),"A","B")</f>
        <v>A</v>
      </c>
      <c r="L28" s="42"/>
    </row>
    <row r="29" customFormat="false" ht="15" hidden="false" customHeight="false" outlineLevel="0" collapsed="false">
      <c r="A29" s="11" t="n">
        <v>28</v>
      </c>
      <c r="B29" s="39" t="n">
        <f aca="false">'Start here'!$C$5+7*(A29-1)</f>
        <v>46496</v>
      </c>
      <c r="C29" s="40" t="s">
        <v>386</v>
      </c>
      <c r="D29" s="40" t="n">
        <v>9</v>
      </c>
      <c r="E29" s="41" t="n">
        <v>1</v>
      </c>
      <c r="F29" s="40" t="n">
        <v>8</v>
      </c>
      <c r="G29" s="40" t="n">
        <v>2</v>
      </c>
      <c r="H29" s="40" t="n">
        <v>8.5</v>
      </c>
      <c r="I29" s="41" t="n">
        <v>0.12</v>
      </c>
      <c r="J29" s="42" t="s">
        <v>382</v>
      </c>
      <c r="K29" s="11" t="str">
        <f aca="false">IF(ISODD(A29),"A","B")</f>
        <v>B</v>
      </c>
      <c r="L29" s="42"/>
    </row>
    <row r="30" customFormat="false" ht="15" hidden="false" customHeight="false" outlineLevel="0" collapsed="false">
      <c r="A30" s="11" t="n">
        <v>29</v>
      </c>
      <c r="B30" s="39" t="n">
        <f aca="false">'Start here'!$C$5+7*(A30-1)</f>
        <v>46503</v>
      </c>
      <c r="C30" s="40" t="s">
        <v>386</v>
      </c>
      <c r="D30" s="40" t="n">
        <v>10</v>
      </c>
      <c r="E30" s="41" t="n">
        <v>1</v>
      </c>
      <c r="F30" s="40" t="n">
        <v>8</v>
      </c>
      <c r="G30" s="40" t="n">
        <v>5</v>
      </c>
      <c r="H30" s="40" t="n">
        <v>8</v>
      </c>
      <c r="I30" s="41" t="n">
        <v>0.1</v>
      </c>
      <c r="J30" s="42" t="s">
        <v>374</v>
      </c>
      <c r="K30" s="11" t="str">
        <f aca="false">IF(ISODD(A30),"A","B")</f>
        <v>A</v>
      </c>
      <c r="L30" s="42"/>
    </row>
    <row r="31" customFormat="false" ht="23.85" hidden="false" customHeight="false" outlineLevel="0" collapsed="false">
      <c r="A31" s="11" t="n">
        <v>30</v>
      </c>
      <c r="B31" s="39" t="n">
        <f aca="false">'Start here'!$C$5+7*(A31-1)</f>
        <v>46510</v>
      </c>
      <c r="C31" s="40" t="s">
        <v>386</v>
      </c>
      <c r="D31" s="40" t="n">
        <v>11</v>
      </c>
      <c r="E31" s="41" t="n">
        <v>1</v>
      </c>
      <c r="F31" s="40" t="n">
        <v>8</v>
      </c>
      <c r="G31" s="40" t="n">
        <v>1</v>
      </c>
      <c r="H31" s="40" t="n">
        <v>9</v>
      </c>
      <c r="I31" s="41" t="n">
        <v>0.12</v>
      </c>
      <c r="J31" s="42" t="s">
        <v>383</v>
      </c>
      <c r="K31" s="11" t="str">
        <f aca="false">IF(ISODD(A31),"A","B")</f>
        <v>B</v>
      </c>
      <c r="L31" s="42" t="s">
        <v>384</v>
      </c>
    </row>
    <row r="32" customFormat="false" ht="23.85" hidden="false" customHeight="false" outlineLevel="0" collapsed="false">
      <c r="A32" s="34" t="n">
        <v>31</v>
      </c>
      <c r="B32" s="35" t="n">
        <f aca="false">'Start here'!$C$5+7*(A32-1)</f>
        <v>46517</v>
      </c>
      <c r="C32" s="36" t="s">
        <v>386</v>
      </c>
      <c r="D32" s="36" t="n">
        <v>12</v>
      </c>
      <c r="E32" s="37" t="n">
        <v>0.55</v>
      </c>
      <c r="F32" s="36" t="n">
        <v>6</v>
      </c>
      <c r="G32" s="36" t="n">
        <v>5</v>
      </c>
      <c r="H32" s="36" t="n">
        <v>6</v>
      </c>
      <c r="I32" s="37" t="n">
        <v>0.1</v>
      </c>
      <c r="J32" s="38" t="s">
        <v>378</v>
      </c>
      <c r="K32" s="34" t="str">
        <f aca="false">IF(ISODD(A32),"A","B")</f>
        <v>A</v>
      </c>
      <c r="L32" s="38" t="s">
        <v>385</v>
      </c>
    </row>
    <row r="34" customFormat="false" ht="15" hidden="false" customHeight="false" outlineLevel="0" collapsed="false">
      <c r="A34" s="2" t="s">
        <v>388</v>
      </c>
    </row>
  </sheetData>
  <conditionalFormatting sqref="A2:L32">
    <cfRule type="expression" priority="2" aboveAverage="0" equalAverage="0" bottom="0" percent="0" rank="0" text="" dxfId="0">
      <formula>$A2='Start here'!$C$8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6" min="3" style="0" width="10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5" t="s">
        <v>389</v>
      </c>
    </row>
    <row r="2" customFormat="false" ht="15" hidden="false" customHeight="false" outlineLevel="0" collapsed="false">
      <c r="A2" s="2" t="s">
        <v>390</v>
      </c>
    </row>
    <row r="3" customFormat="false" ht="23.85" hidden="false" customHeight="false" outlineLevel="0" collapsed="false">
      <c r="A3" s="10" t="s">
        <v>391</v>
      </c>
      <c r="B3" s="10" t="s">
        <v>18</v>
      </c>
      <c r="C3" s="10" t="s">
        <v>392</v>
      </c>
      <c r="D3" s="10" t="s">
        <v>393</v>
      </c>
      <c r="E3" s="10" t="s">
        <v>394</v>
      </c>
      <c r="F3" s="10" t="s">
        <v>395</v>
      </c>
      <c r="G3" s="10" t="s">
        <v>396</v>
      </c>
      <c r="H3" s="10" t="s">
        <v>397</v>
      </c>
      <c r="I3" s="10" t="s">
        <v>14</v>
      </c>
    </row>
    <row r="4" customFormat="false" ht="35.05" hidden="false" customHeight="false" outlineLevel="0" collapsed="false">
      <c r="A4" s="43" t="s">
        <v>93</v>
      </c>
      <c r="B4" s="11" t="s">
        <v>24</v>
      </c>
      <c r="C4" s="44" t="n">
        <f aca="true">_xlfn.MAXIFS($G$14:$G$313,$C$14:$C$313,A4,$A$14:$A$313,"&gt;="&amp;(TODAY()-21))</f>
        <v>0</v>
      </c>
      <c r="D4" s="44" t="n">
        <f aca="false">_xlfn.MAXIFS($G$14:$G$313,$C$14:$C$313,A4)</f>
        <v>0</v>
      </c>
      <c r="E4" s="11" t="n">
        <f aca="false">IFERROR(INDEX(Plan!$G$2:$G$32,MATCH('Start here'!$C$8,Plan!$A$2:$A$32,0)),5)</f>
        <v>5</v>
      </c>
      <c r="F4" s="11" t="n">
        <f aca="false">IFERROR(INDEX(Plan!$H$2:$H$32,MATCH('Start here'!$C$8,Plan!$A$2:$A$32,0)),7)</f>
        <v>6</v>
      </c>
      <c r="G4" s="45" t="str">
        <f aca="false">IF(IF(C4&gt;0,C4,D4)=0,"Log a session first",IF(E4+10-F4&lt;=1,MROUND(IF(C4&gt;0,C4,D4),2.5),MROUND(IF(C4&gt;0,C4,D4)/(1+(E4+10-F4)/30),2.5)))</f>
        <v>Log a session first</v>
      </c>
      <c r="H4" s="11" t="str">
        <f aca="false">IF(ISNUMBER(G4),MROUND(G4*(1-IFERROR(INDEX(Plan!$I$2:$I$32,MATCH('Start here'!$C$8,Plan!$A$2:$A$32,0)),0.1)),2.5),"")</f>
        <v/>
      </c>
      <c r="I4" s="11" t="str">
        <f aca="false">IFERROR(INDEX(Plan!$J$2:$J$32,MATCH('Start here'!$C$8,Plan!$A$2:$A$32,0)),"")</f>
        <v>3 × 5</v>
      </c>
    </row>
    <row r="5" customFormat="false" ht="35.05" hidden="false" customHeight="false" outlineLevel="0" collapsed="false">
      <c r="A5" s="43" t="s">
        <v>125</v>
      </c>
      <c r="B5" s="11" t="s">
        <v>28</v>
      </c>
      <c r="C5" s="44" t="n">
        <f aca="true">_xlfn.MAXIFS($G$14:$G$313,$C$14:$C$313,A5,$A$14:$A$313,"&gt;="&amp;(TODAY()-21))</f>
        <v>0</v>
      </c>
      <c r="D5" s="44" t="n">
        <f aca="false">_xlfn.MAXIFS($G$14:$G$313,$C$14:$C$313,A5)</f>
        <v>0</v>
      </c>
      <c r="E5" s="11" t="n">
        <f aca="false">IFERROR(INDEX(Plan!$G$2:$G$32,MATCH('Start here'!$C$8,Plan!$A$2:$A$32,0)),5)</f>
        <v>5</v>
      </c>
      <c r="F5" s="11" t="n">
        <f aca="false">IFERROR(INDEX(Plan!$H$2:$H$32,MATCH('Start here'!$C$8,Plan!$A$2:$A$32,0)),7)</f>
        <v>6</v>
      </c>
      <c r="G5" s="45" t="str">
        <f aca="false">IF(IF(C5&gt;0,C5,D5)=0,"Log a session first",IF(E5+10-F5&lt;=1,MROUND(IF(C5&gt;0,C5,D5),2.5),MROUND(IF(C5&gt;0,C5,D5)/(1+(E5+10-F5)/30),2.5)))</f>
        <v>Log a session first</v>
      </c>
      <c r="H5" s="11" t="str">
        <f aca="false">IF(ISNUMBER(G5),MROUND(G5*(1-IFERROR(INDEX(Plan!$I$2:$I$32,MATCH('Start here'!$C$8,Plan!$A$2:$A$32,0)),0.1)),2.5),"")</f>
        <v/>
      </c>
      <c r="I5" s="11" t="str">
        <f aca="false">IFERROR(INDEX(Plan!$J$2:$J$32,MATCH('Start here'!$C$8,Plan!$A$2:$A$32,0)),"")</f>
        <v>3 × 5</v>
      </c>
    </row>
    <row r="6" customFormat="false" ht="35.05" hidden="false" customHeight="false" outlineLevel="0" collapsed="false">
      <c r="A6" s="43" t="s">
        <v>196</v>
      </c>
      <c r="B6" s="11" t="s">
        <v>33</v>
      </c>
      <c r="C6" s="44" t="n">
        <f aca="true">_xlfn.MAXIFS($G$14:$G$313,$C$14:$C$313,A6,$A$14:$A$313,"&gt;="&amp;(TODAY()-21))</f>
        <v>0</v>
      </c>
      <c r="D6" s="44" t="n">
        <f aca="false">_xlfn.MAXIFS($G$14:$G$313,$C$14:$C$313,A6)</f>
        <v>0</v>
      </c>
      <c r="E6" s="11" t="n">
        <f aca="false">IFERROR(INDEX(Plan!$G$2:$G$32,MATCH('Start here'!$C$8,Plan!$A$2:$A$32,0)),5)</f>
        <v>5</v>
      </c>
      <c r="F6" s="11" t="n">
        <f aca="false">IFERROR(INDEX(Plan!$H$2:$H$32,MATCH('Start here'!$C$8,Plan!$A$2:$A$32,0)),7)</f>
        <v>6</v>
      </c>
      <c r="G6" s="45" t="str">
        <f aca="false">IF(IF(C6&gt;0,C6,D6)=0,"Log a session first",IF(E6+10-F6&lt;=1,MROUND(IF(C6&gt;0,C6,D6),2.5),MROUND(IF(C6&gt;0,C6,D6)/(1+(E6+10-F6)/30),2.5)))</f>
        <v>Log a session first</v>
      </c>
      <c r="H6" s="11" t="str">
        <f aca="false">IF(ISNUMBER(G6),MROUND(G6*(1-IFERROR(INDEX(Plan!$I$2:$I$32,MATCH('Start here'!$C$8,Plan!$A$2:$A$32,0)),0.1)),2.5),"")</f>
        <v/>
      </c>
      <c r="I6" s="11" t="str">
        <f aca="false">IFERROR(INDEX(Plan!$J$2:$J$32,MATCH('Start here'!$C$8,Plan!$A$2:$A$32,0)),"")</f>
        <v>3 × 5</v>
      </c>
    </row>
    <row r="7" customFormat="false" ht="35.05" hidden="false" customHeight="false" outlineLevel="0" collapsed="false">
      <c r="A7" s="43" t="s">
        <v>223</v>
      </c>
      <c r="B7" s="11" t="s">
        <v>35</v>
      </c>
      <c r="C7" s="44" t="n">
        <f aca="true">_xlfn.MAXIFS($G$14:$G$313,$C$14:$C$313,A7,$A$14:$A$313,"&gt;="&amp;(TODAY()-21))</f>
        <v>0</v>
      </c>
      <c r="D7" s="44" t="n">
        <f aca="false">_xlfn.MAXIFS($G$14:$G$313,$C$14:$C$313,A7)</f>
        <v>0</v>
      </c>
      <c r="E7" s="11" t="n">
        <f aca="false">IFERROR(INDEX(Plan!$G$2:$G$32,MATCH('Start here'!$C$8,Plan!$A$2:$A$32,0)),5)</f>
        <v>5</v>
      </c>
      <c r="F7" s="11" t="n">
        <f aca="false">IFERROR(INDEX(Plan!$H$2:$H$32,MATCH('Start here'!$C$8,Plan!$A$2:$A$32,0)),7)</f>
        <v>6</v>
      </c>
      <c r="G7" s="45" t="str">
        <f aca="false">IF(IF(C7&gt;0,C7,D7)=0,"Log a session first",IF(E7+10-F7&lt;=1,MROUND(IF(C7&gt;0,C7,D7),2.5),MROUND(IF(C7&gt;0,C7,D7)/(1+(E7+10-F7)/30),2.5)))</f>
        <v>Log a session first</v>
      </c>
      <c r="H7" s="11" t="str">
        <f aca="false">IF(ISNUMBER(G7),MROUND(G7*(1-IFERROR(INDEX(Plan!$I$2:$I$32,MATCH('Start here'!$C$8,Plan!$A$2:$A$32,0)),0.1)),2.5),"")</f>
        <v/>
      </c>
      <c r="I7" s="11" t="str">
        <f aca="false">IFERROR(INDEX(Plan!$J$2:$J$32,MATCH('Start here'!$C$8,Plan!$A$2:$A$32,0)),"")</f>
        <v>3 × 5</v>
      </c>
    </row>
    <row r="8" customFormat="false" ht="35.05" hidden="false" customHeight="false" outlineLevel="0" collapsed="false">
      <c r="A8" s="43" t="s">
        <v>204</v>
      </c>
      <c r="B8" s="11" t="s">
        <v>33</v>
      </c>
      <c r="C8" s="44" t="n">
        <f aca="true">_xlfn.MAXIFS($G$14:$G$313,$C$14:$C$313,A8,$A$14:$A$313,"&gt;="&amp;(TODAY()-21))</f>
        <v>0</v>
      </c>
      <c r="D8" s="44" t="n">
        <f aca="false">_xlfn.MAXIFS($G$14:$G$313,$C$14:$C$313,A8)</f>
        <v>0</v>
      </c>
      <c r="E8" s="40" t="n">
        <v>4</v>
      </c>
      <c r="F8" s="40" t="n">
        <v>7</v>
      </c>
      <c r="G8" s="45" t="str">
        <f aca="false">IF(IF(C8&gt;0,C8,D8)=0,"Log a session first",IF(E8+10-F8&lt;=1,MROUND(IF(C8&gt;0,C8,D8),2.5),MROUND(IF(C8&gt;0,C8,D8)/(1+(E8+10-F8)/30),2.5)))</f>
        <v>Log a session first</v>
      </c>
      <c r="H8" s="11" t="str">
        <f aca="false">IF(ISNUMBER(G8),G8,"")</f>
        <v/>
      </c>
      <c r="I8" s="11" t="s">
        <v>398</v>
      </c>
    </row>
    <row r="9" customFormat="false" ht="35.05" hidden="false" customHeight="false" outlineLevel="0" collapsed="false">
      <c r="A9" s="43" t="s">
        <v>248</v>
      </c>
      <c r="B9" s="11" t="s">
        <v>247</v>
      </c>
      <c r="C9" s="44" t="n">
        <f aca="true">_xlfn.MAXIFS($G$14:$G$313,$C$14:$C$313,A9,$A$14:$A$313,"&gt;="&amp;(TODAY()-21))</f>
        <v>0</v>
      </c>
      <c r="D9" s="44" t="n">
        <f aca="false">_xlfn.MAXIFS($G$14:$G$313,$C$14:$C$313,A9)</f>
        <v>0</v>
      </c>
      <c r="E9" s="40" t="n">
        <v>4</v>
      </c>
      <c r="F9" s="40" t="n">
        <v>7</v>
      </c>
      <c r="G9" s="45" t="str">
        <f aca="false">IF(IF(C9&gt;0,C9,D9)=0,"Log a session first",IF(E9+10-F9&lt;=1,MROUND(IF(C9&gt;0,C9,D9),2.5),MROUND(IF(C9&gt;0,C9,D9)/(1+(E9+10-F9)/30),2.5)))</f>
        <v>Log a session first</v>
      </c>
      <c r="H9" s="11" t="str">
        <f aca="false">IF(ISNUMBER(G9),G9,"")</f>
        <v/>
      </c>
      <c r="I9" s="11" t="s">
        <v>398</v>
      </c>
    </row>
    <row r="10" customFormat="false" ht="30" hidden="false" customHeight="true" outlineLevel="0" collapsed="false">
      <c r="A10" s="46" t="s">
        <v>399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</row>
    <row r="12" customFormat="false" ht="15" hidden="false" customHeight="false" outlineLevel="0" collapsed="false">
      <c r="A12" s="5" t="s">
        <v>400</v>
      </c>
    </row>
    <row r="13" customFormat="false" ht="23.85" hidden="false" customHeight="false" outlineLevel="0" collapsed="false">
      <c r="A13" s="10" t="s">
        <v>401</v>
      </c>
      <c r="B13" s="10" t="s">
        <v>80</v>
      </c>
      <c r="C13" s="10" t="s">
        <v>391</v>
      </c>
      <c r="D13" s="10" t="s">
        <v>396</v>
      </c>
      <c r="E13" s="10" t="s">
        <v>402</v>
      </c>
      <c r="F13" s="10" t="s">
        <v>403</v>
      </c>
      <c r="G13" s="10" t="s">
        <v>62</v>
      </c>
      <c r="H13" s="10" t="s">
        <v>397</v>
      </c>
      <c r="I13" s="10" t="s">
        <v>404</v>
      </c>
      <c r="J13" s="10" t="s">
        <v>405</v>
      </c>
      <c r="K13" s="10" t="s">
        <v>406</v>
      </c>
    </row>
    <row r="14" customFormat="false" ht="23.85" hidden="false" customHeight="false" outlineLevel="0" collapsed="false">
      <c r="A14" s="47" t="n">
        <v>46307</v>
      </c>
      <c r="B14" s="48" t="n">
        <f aca="false">IF(A14="","",INT((A14-'Start here'!$C$5)/7)+1)</f>
        <v>1</v>
      </c>
      <c r="C14" s="49" t="s">
        <v>407</v>
      </c>
      <c r="D14" s="49" t="n">
        <v>100</v>
      </c>
      <c r="E14" s="49" t="n">
        <v>5</v>
      </c>
      <c r="F14" s="49" t="n">
        <v>6.5</v>
      </c>
      <c r="G14" s="48" t="n">
        <f aca="false">IF(OR(D14="",E14=""),"",IF(E14+10-IF(F14="",10,F14)&lt;=1,D14,ROUND(D14*(1+(E14+10-IF(F14="",10,F14))/30),1)))</f>
        <v>128.3</v>
      </c>
      <c r="H14" s="49" t="n">
        <v>90</v>
      </c>
      <c r="I14" s="49" t="n">
        <v>5</v>
      </c>
      <c r="J14" s="48" t="str">
        <f aca="false">IF(OR(C14="",G14=""),"",IF(_xlfn.MAXIFS($G$13:G13,$C$13:C13,C14)=0,"",_xlfn.MAXIFS($G$13:G13,$C$13:C13,C14)))</f>
        <v/>
      </c>
      <c r="K14" s="50" t="str">
        <f aca="false">IF(OR(G14="",J14=""),"",IF(G14&lt;0.95*J14,"Below trend","OK"))</f>
        <v/>
      </c>
    </row>
    <row r="15" customFormat="false" ht="15" hidden="false" customHeight="false" outlineLevel="0" collapsed="false">
      <c r="A15" s="51"/>
      <c r="B15" s="11" t="str">
        <f aca="false">IF(A15="","",INT((A15-'Start here'!$C$5)/7)+1)</f>
        <v/>
      </c>
      <c r="C15" s="20"/>
      <c r="D15" s="20"/>
      <c r="E15" s="20"/>
      <c r="F15" s="20"/>
      <c r="G15" s="11" t="str">
        <f aca="false">IF(OR(D15="",E15=""),"",IF(E15+10-IF(F15="",10,F15)&lt;=1,D15,ROUND(D15*(1+(E15+10-IF(F15="",10,F15))/30),1)))</f>
        <v/>
      </c>
      <c r="H15" s="20"/>
      <c r="I15" s="20"/>
      <c r="J15" s="11" t="str">
        <f aca="false">IF(OR(C15="",G15=""),"",IF(_xlfn.MAXIFS($G$13:G14,$C$13:C14,C15)=0,"",_xlfn.MAXIFS($G$13:G14,$C$13:C14,C15)))</f>
        <v/>
      </c>
      <c r="K15" s="11" t="str">
        <f aca="false">IF(OR(G15="",J15=""),"",IF(G15&lt;0.95*J15,"Below trend","OK"))</f>
        <v/>
      </c>
    </row>
    <row r="16" customFormat="false" ht="15" hidden="false" customHeight="false" outlineLevel="0" collapsed="false">
      <c r="A16" s="51"/>
      <c r="B16" s="11" t="str">
        <f aca="false">IF(A16="","",INT((A16-'Start here'!$C$5)/7)+1)</f>
        <v/>
      </c>
      <c r="C16" s="20"/>
      <c r="D16" s="20"/>
      <c r="E16" s="20"/>
      <c r="F16" s="20"/>
      <c r="G16" s="11" t="str">
        <f aca="false">IF(OR(D16="",E16=""),"",IF(E16+10-IF(F16="",10,F16)&lt;=1,D16,ROUND(D16*(1+(E16+10-IF(F16="",10,F16))/30),1)))</f>
        <v/>
      </c>
      <c r="H16" s="20"/>
      <c r="I16" s="20"/>
      <c r="J16" s="11" t="str">
        <f aca="false">IF(OR(C16="",G16=""),"",IF(_xlfn.MAXIFS($G$13:G15,$C$13:C15,C16)=0,"",_xlfn.MAXIFS($G$13:G15,$C$13:C15,C16)))</f>
        <v/>
      </c>
      <c r="K16" s="11" t="str">
        <f aca="false">IF(OR(G16="",J16=""),"",IF(G16&lt;0.95*J16,"Below trend","OK"))</f>
        <v/>
      </c>
    </row>
    <row r="17" customFormat="false" ht="15" hidden="false" customHeight="false" outlineLevel="0" collapsed="false">
      <c r="A17" s="51"/>
      <c r="B17" s="11" t="str">
        <f aca="false">IF(A17="","",INT((A17-'Start here'!$C$5)/7)+1)</f>
        <v/>
      </c>
      <c r="C17" s="20"/>
      <c r="D17" s="20"/>
      <c r="E17" s="20"/>
      <c r="F17" s="20"/>
      <c r="G17" s="11" t="str">
        <f aca="false">IF(OR(D17="",E17=""),"",IF(E17+10-IF(F17="",10,F17)&lt;=1,D17,ROUND(D17*(1+(E17+10-IF(F17="",10,F17))/30),1)))</f>
        <v/>
      </c>
      <c r="H17" s="20"/>
      <c r="I17" s="20"/>
      <c r="J17" s="11" t="str">
        <f aca="false">IF(OR(C17="",G17=""),"",IF(_xlfn.MAXIFS($G$13:G16,$C$13:C16,C17)=0,"",_xlfn.MAXIFS($G$13:G16,$C$13:C16,C17)))</f>
        <v/>
      </c>
      <c r="K17" s="11" t="str">
        <f aca="false">IF(OR(G17="",J17=""),"",IF(G17&lt;0.95*J17,"Below trend","OK"))</f>
        <v/>
      </c>
    </row>
    <row r="18" customFormat="false" ht="15" hidden="false" customHeight="false" outlineLevel="0" collapsed="false">
      <c r="A18" s="51"/>
      <c r="B18" s="11" t="str">
        <f aca="false">IF(A18="","",INT((A18-'Start here'!$C$5)/7)+1)</f>
        <v/>
      </c>
      <c r="C18" s="20"/>
      <c r="D18" s="20"/>
      <c r="E18" s="20"/>
      <c r="F18" s="20"/>
      <c r="G18" s="11" t="str">
        <f aca="false">IF(OR(D18="",E18=""),"",IF(E18+10-IF(F18="",10,F18)&lt;=1,D18,ROUND(D18*(1+(E18+10-IF(F18="",10,F18))/30),1)))</f>
        <v/>
      </c>
      <c r="H18" s="20"/>
      <c r="I18" s="20"/>
      <c r="J18" s="11" t="str">
        <f aca="false">IF(OR(C18="",G18=""),"",IF(_xlfn.MAXIFS($G$13:G17,$C$13:C17,C18)=0,"",_xlfn.MAXIFS($G$13:G17,$C$13:C17,C18)))</f>
        <v/>
      </c>
      <c r="K18" s="11" t="str">
        <f aca="false">IF(OR(G18="",J18=""),"",IF(G18&lt;0.95*J18,"Below trend","OK"))</f>
        <v/>
      </c>
    </row>
    <row r="19" customFormat="false" ht="15" hidden="false" customHeight="false" outlineLevel="0" collapsed="false">
      <c r="A19" s="51"/>
      <c r="B19" s="11" t="str">
        <f aca="false">IF(A19="","",INT((A19-'Start here'!$C$5)/7)+1)</f>
        <v/>
      </c>
      <c r="C19" s="20"/>
      <c r="D19" s="20"/>
      <c r="E19" s="20"/>
      <c r="F19" s="20"/>
      <c r="G19" s="11" t="str">
        <f aca="false">IF(OR(D19="",E19=""),"",IF(E19+10-IF(F19="",10,F19)&lt;=1,D19,ROUND(D19*(1+(E19+10-IF(F19="",10,F19))/30),1)))</f>
        <v/>
      </c>
      <c r="H19" s="20"/>
      <c r="I19" s="20"/>
      <c r="J19" s="11" t="str">
        <f aca="false">IF(OR(C19="",G19=""),"",IF(_xlfn.MAXIFS($G$13:G18,$C$13:C18,C19)=0,"",_xlfn.MAXIFS($G$13:G18,$C$13:C18,C19)))</f>
        <v/>
      </c>
      <c r="K19" s="11" t="str">
        <f aca="false">IF(OR(G19="",J19=""),"",IF(G19&lt;0.95*J19,"Below trend","OK"))</f>
        <v/>
      </c>
    </row>
    <row r="20" customFormat="false" ht="15" hidden="false" customHeight="false" outlineLevel="0" collapsed="false">
      <c r="A20" s="51"/>
      <c r="B20" s="11" t="str">
        <f aca="false">IF(A20="","",INT((A20-'Start here'!$C$5)/7)+1)</f>
        <v/>
      </c>
      <c r="C20" s="20"/>
      <c r="D20" s="20"/>
      <c r="E20" s="20"/>
      <c r="F20" s="20"/>
      <c r="G20" s="11" t="str">
        <f aca="false">IF(OR(D20="",E20=""),"",IF(E20+10-IF(F20="",10,F20)&lt;=1,D20,ROUND(D20*(1+(E20+10-IF(F20="",10,F20))/30),1)))</f>
        <v/>
      </c>
      <c r="H20" s="20"/>
      <c r="I20" s="20"/>
      <c r="J20" s="11" t="str">
        <f aca="false">IF(OR(C20="",G20=""),"",IF(_xlfn.MAXIFS($G$13:G19,$C$13:C19,C20)=0,"",_xlfn.MAXIFS($G$13:G19,$C$13:C19,C20)))</f>
        <v/>
      </c>
      <c r="K20" s="11" t="str">
        <f aca="false">IF(OR(G20="",J20=""),"",IF(G20&lt;0.95*J20,"Below trend","OK"))</f>
        <v/>
      </c>
    </row>
    <row r="21" customFormat="false" ht="15" hidden="false" customHeight="false" outlineLevel="0" collapsed="false">
      <c r="A21" s="51"/>
      <c r="B21" s="11" t="str">
        <f aca="false">IF(A21="","",INT((A21-'Start here'!$C$5)/7)+1)</f>
        <v/>
      </c>
      <c r="C21" s="20"/>
      <c r="D21" s="20"/>
      <c r="E21" s="20"/>
      <c r="F21" s="20"/>
      <c r="G21" s="11" t="str">
        <f aca="false">IF(OR(D21="",E21=""),"",IF(E21+10-IF(F21="",10,F21)&lt;=1,D21,ROUND(D21*(1+(E21+10-IF(F21="",10,F21))/30),1)))</f>
        <v/>
      </c>
      <c r="H21" s="20"/>
      <c r="I21" s="20"/>
      <c r="J21" s="11" t="str">
        <f aca="false">IF(OR(C21="",G21=""),"",IF(_xlfn.MAXIFS($G$13:G20,$C$13:C20,C21)=0,"",_xlfn.MAXIFS($G$13:G20,$C$13:C20,C21)))</f>
        <v/>
      </c>
      <c r="K21" s="11" t="str">
        <f aca="false">IF(OR(G21="",J21=""),"",IF(G21&lt;0.95*J21,"Below trend","OK"))</f>
        <v/>
      </c>
    </row>
    <row r="22" customFormat="false" ht="15" hidden="false" customHeight="false" outlineLevel="0" collapsed="false">
      <c r="A22" s="51"/>
      <c r="B22" s="11" t="str">
        <f aca="false">IF(A22="","",INT((A22-'Start here'!$C$5)/7)+1)</f>
        <v/>
      </c>
      <c r="C22" s="20"/>
      <c r="D22" s="20"/>
      <c r="E22" s="20"/>
      <c r="F22" s="20"/>
      <c r="G22" s="11" t="str">
        <f aca="false">IF(OR(D22="",E22=""),"",IF(E22+10-IF(F22="",10,F22)&lt;=1,D22,ROUND(D22*(1+(E22+10-IF(F22="",10,F22))/30),1)))</f>
        <v/>
      </c>
      <c r="H22" s="20"/>
      <c r="I22" s="20"/>
      <c r="J22" s="11" t="str">
        <f aca="false">IF(OR(C22="",G22=""),"",IF(_xlfn.MAXIFS($G$13:G21,$C$13:C21,C22)=0,"",_xlfn.MAXIFS($G$13:G21,$C$13:C21,C22)))</f>
        <v/>
      </c>
      <c r="K22" s="11" t="str">
        <f aca="false">IF(OR(G22="",J22=""),"",IF(G22&lt;0.95*J22,"Below trend","OK"))</f>
        <v/>
      </c>
    </row>
    <row r="23" customFormat="false" ht="15" hidden="false" customHeight="false" outlineLevel="0" collapsed="false">
      <c r="A23" s="51"/>
      <c r="B23" s="11" t="str">
        <f aca="false">IF(A23="","",INT((A23-'Start here'!$C$5)/7)+1)</f>
        <v/>
      </c>
      <c r="C23" s="20"/>
      <c r="D23" s="20"/>
      <c r="E23" s="20"/>
      <c r="F23" s="20"/>
      <c r="G23" s="11" t="str">
        <f aca="false">IF(OR(D23="",E23=""),"",IF(E23+10-IF(F23="",10,F23)&lt;=1,D23,ROUND(D23*(1+(E23+10-IF(F23="",10,F23))/30),1)))</f>
        <v/>
      </c>
      <c r="H23" s="20"/>
      <c r="I23" s="20"/>
      <c r="J23" s="11" t="str">
        <f aca="false">IF(OR(C23="",G23=""),"",IF(_xlfn.MAXIFS($G$13:G22,$C$13:C22,C23)=0,"",_xlfn.MAXIFS($G$13:G22,$C$13:C22,C23)))</f>
        <v/>
      </c>
      <c r="K23" s="11" t="str">
        <f aca="false">IF(OR(G23="",J23=""),"",IF(G23&lt;0.95*J23,"Below trend","OK"))</f>
        <v/>
      </c>
    </row>
    <row r="24" customFormat="false" ht="15" hidden="false" customHeight="false" outlineLevel="0" collapsed="false">
      <c r="A24" s="51"/>
      <c r="B24" s="11" t="str">
        <f aca="false">IF(A24="","",INT((A24-'Start here'!$C$5)/7)+1)</f>
        <v/>
      </c>
      <c r="C24" s="20"/>
      <c r="D24" s="20"/>
      <c r="E24" s="20"/>
      <c r="F24" s="20"/>
      <c r="G24" s="11" t="str">
        <f aca="false">IF(OR(D24="",E24=""),"",IF(E24+10-IF(F24="",10,F24)&lt;=1,D24,ROUND(D24*(1+(E24+10-IF(F24="",10,F24))/30),1)))</f>
        <v/>
      </c>
      <c r="H24" s="20"/>
      <c r="I24" s="20"/>
      <c r="J24" s="11" t="str">
        <f aca="false">IF(OR(C24="",G24=""),"",IF(_xlfn.MAXIFS($G$13:G23,$C$13:C23,C24)=0,"",_xlfn.MAXIFS($G$13:G23,$C$13:C23,C24)))</f>
        <v/>
      </c>
      <c r="K24" s="11" t="str">
        <f aca="false">IF(OR(G24="",J24=""),"",IF(G24&lt;0.95*J24,"Below trend","OK"))</f>
        <v/>
      </c>
    </row>
    <row r="25" customFormat="false" ht="15" hidden="false" customHeight="false" outlineLevel="0" collapsed="false">
      <c r="A25" s="51"/>
      <c r="B25" s="11" t="str">
        <f aca="false">IF(A25="","",INT((A25-'Start here'!$C$5)/7)+1)</f>
        <v/>
      </c>
      <c r="C25" s="20"/>
      <c r="D25" s="20"/>
      <c r="E25" s="20"/>
      <c r="F25" s="20"/>
      <c r="G25" s="11" t="str">
        <f aca="false">IF(OR(D25="",E25=""),"",IF(E25+10-IF(F25="",10,F25)&lt;=1,D25,ROUND(D25*(1+(E25+10-IF(F25="",10,F25))/30),1)))</f>
        <v/>
      </c>
      <c r="H25" s="20"/>
      <c r="I25" s="20"/>
      <c r="J25" s="11" t="str">
        <f aca="false">IF(OR(C25="",G25=""),"",IF(_xlfn.MAXIFS($G$13:G24,$C$13:C24,C25)=0,"",_xlfn.MAXIFS($G$13:G24,$C$13:C24,C25)))</f>
        <v/>
      </c>
      <c r="K25" s="11" t="str">
        <f aca="false">IF(OR(G25="",J25=""),"",IF(G25&lt;0.95*J25,"Below trend","OK"))</f>
        <v/>
      </c>
    </row>
    <row r="26" customFormat="false" ht="15" hidden="false" customHeight="false" outlineLevel="0" collapsed="false">
      <c r="A26" s="51"/>
      <c r="B26" s="11" t="str">
        <f aca="false">IF(A26="","",INT((A26-'Start here'!$C$5)/7)+1)</f>
        <v/>
      </c>
      <c r="C26" s="20"/>
      <c r="D26" s="20"/>
      <c r="E26" s="20"/>
      <c r="F26" s="20"/>
      <c r="G26" s="11" t="str">
        <f aca="false">IF(OR(D26="",E26=""),"",IF(E26+10-IF(F26="",10,F26)&lt;=1,D26,ROUND(D26*(1+(E26+10-IF(F26="",10,F26))/30),1)))</f>
        <v/>
      </c>
      <c r="H26" s="20"/>
      <c r="I26" s="20"/>
      <c r="J26" s="11" t="str">
        <f aca="false">IF(OR(C26="",G26=""),"",IF(_xlfn.MAXIFS($G$13:G25,$C$13:C25,C26)=0,"",_xlfn.MAXIFS($G$13:G25,$C$13:C25,C26)))</f>
        <v/>
      </c>
      <c r="K26" s="11" t="str">
        <f aca="false">IF(OR(G26="",J26=""),"",IF(G26&lt;0.95*J26,"Below trend","OK"))</f>
        <v/>
      </c>
    </row>
    <row r="27" customFormat="false" ht="15" hidden="false" customHeight="false" outlineLevel="0" collapsed="false">
      <c r="A27" s="51"/>
      <c r="B27" s="11" t="str">
        <f aca="false">IF(A27="","",INT((A27-'Start here'!$C$5)/7)+1)</f>
        <v/>
      </c>
      <c r="C27" s="20"/>
      <c r="D27" s="20"/>
      <c r="E27" s="20"/>
      <c r="F27" s="20"/>
      <c r="G27" s="11" t="str">
        <f aca="false">IF(OR(D27="",E27=""),"",IF(E27+10-IF(F27="",10,F27)&lt;=1,D27,ROUND(D27*(1+(E27+10-IF(F27="",10,F27))/30),1)))</f>
        <v/>
      </c>
      <c r="H27" s="20"/>
      <c r="I27" s="20"/>
      <c r="J27" s="11" t="str">
        <f aca="false">IF(OR(C27="",G27=""),"",IF(_xlfn.MAXIFS($G$13:G26,$C$13:C26,C27)=0,"",_xlfn.MAXIFS($G$13:G26,$C$13:C26,C27)))</f>
        <v/>
      </c>
      <c r="K27" s="11" t="str">
        <f aca="false">IF(OR(G27="",J27=""),"",IF(G27&lt;0.95*J27,"Below trend","OK"))</f>
        <v/>
      </c>
    </row>
    <row r="28" customFormat="false" ht="15" hidden="false" customHeight="false" outlineLevel="0" collapsed="false">
      <c r="A28" s="51"/>
      <c r="B28" s="11" t="str">
        <f aca="false">IF(A28="","",INT((A28-'Start here'!$C$5)/7)+1)</f>
        <v/>
      </c>
      <c r="C28" s="20"/>
      <c r="D28" s="20"/>
      <c r="E28" s="20"/>
      <c r="F28" s="20"/>
      <c r="G28" s="11" t="str">
        <f aca="false">IF(OR(D28="",E28=""),"",IF(E28+10-IF(F28="",10,F28)&lt;=1,D28,ROUND(D28*(1+(E28+10-IF(F28="",10,F28))/30),1)))</f>
        <v/>
      </c>
      <c r="H28" s="20"/>
      <c r="I28" s="20"/>
      <c r="J28" s="11" t="str">
        <f aca="false">IF(OR(C28="",G28=""),"",IF(_xlfn.MAXIFS($G$13:G27,$C$13:C27,C28)=0,"",_xlfn.MAXIFS($G$13:G27,$C$13:C27,C28)))</f>
        <v/>
      </c>
      <c r="K28" s="11" t="str">
        <f aca="false">IF(OR(G28="",J28=""),"",IF(G28&lt;0.95*J28,"Below trend","OK"))</f>
        <v/>
      </c>
    </row>
    <row r="29" customFormat="false" ht="15" hidden="false" customHeight="false" outlineLevel="0" collapsed="false">
      <c r="A29" s="51"/>
      <c r="B29" s="11" t="str">
        <f aca="false">IF(A29="","",INT((A29-'Start here'!$C$5)/7)+1)</f>
        <v/>
      </c>
      <c r="C29" s="20"/>
      <c r="D29" s="20"/>
      <c r="E29" s="20"/>
      <c r="F29" s="20"/>
      <c r="G29" s="11" t="str">
        <f aca="false">IF(OR(D29="",E29=""),"",IF(E29+10-IF(F29="",10,F29)&lt;=1,D29,ROUND(D29*(1+(E29+10-IF(F29="",10,F29))/30),1)))</f>
        <v/>
      </c>
      <c r="H29" s="20"/>
      <c r="I29" s="20"/>
      <c r="J29" s="11" t="str">
        <f aca="false">IF(OR(C29="",G29=""),"",IF(_xlfn.MAXIFS($G$13:G28,$C$13:C28,C29)=0,"",_xlfn.MAXIFS($G$13:G28,$C$13:C28,C29)))</f>
        <v/>
      </c>
      <c r="K29" s="11" t="str">
        <f aca="false">IF(OR(G29="",J29=""),"",IF(G29&lt;0.95*J29,"Below trend","OK"))</f>
        <v/>
      </c>
    </row>
    <row r="30" customFormat="false" ht="15" hidden="false" customHeight="false" outlineLevel="0" collapsed="false">
      <c r="A30" s="51"/>
      <c r="B30" s="11" t="str">
        <f aca="false">IF(A30="","",INT((A30-'Start here'!$C$5)/7)+1)</f>
        <v/>
      </c>
      <c r="C30" s="20"/>
      <c r="D30" s="20"/>
      <c r="E30" s="20"/>
      <c r="F30" s="20"/>
      <c r="G30" s="11" t="str">
        <f aca="false">IF(OR(D30="",E30=""),"",IF(E30+10-IF(F30="",10,F30)&lt;=1,D30,ROUND(D30*(1+(E30+10-IF(F30="",10,F30))/30),1)))</f>
        <v/>
      </c>
      <c r="H30" s="20"/>
      <c r="I30" s="20"/>
      <c r="J30" s="11" t="str">
        <f aca="false">IF(OR(C30="",G30=""),"",IF(_xlfn.MAXIFS($G$13:G29,$C$13:C29,C30)=0,"",_xlfn.MAXIFS($G$13:G29,$C$13:C29,C30)))</f>
        <v/>
      </c>
      <c r="K30" s="11" t="str">
        <f aca="false">IF(OR(G30="",J30=""),"",IF(G30&lt;0.95*J30,"Below trend","OK"))</f>
        <v/>
      </c>
    </row>
    <row r="31" customFormat="false" ht="15" hidden="false" customHeight="false" outlineLevel="0" collapsed="false">
      <c r="A31" s="51"/>
      <c r="B31" s="11" t="str">
        <f aca="false">IF(A31="","",INT((A31-'Start here'!$C$5)/7)+1)</f>
        <v/>
      </c>
      <c r="C31" s="20"/>
      <c r="D31" s="20"/>
      <c r="E31" s="20"/>
      <c r="F31" s="20"/>
      <c r="G31" s="11" t="str">
        <f aca="false">IF(OR(D31="",E31=""),"",IF(E31+10-IF(F31="",10,F31)&lt;=1,D31,ROUND(D31*(1+(E31+10-IF(F31="",10,F31))/30),1)))</f>
        <v/>
      </c>
      <c r="H31" s="20"/>
      <c r="I31" s="20"/>
      <c r="J31" s="11" t="str">
        <f aca="false">IF(OR(C31="",G31=""),"",IF(_xlfn.MAXIFS($G$13:G30,$C$13:C30,C31)=0,"",_xlfn.MAXIFS($G$13:G30,$C$13:C30,C31)))</f>
        <v/>
      </c>
      <c r="K31" s="11" t="str">
        <f aca="false">IF(OR(G31="",J31=""),"",IF(G31&lt;0.95*J31,"Below trend","OK"))</f>
        <v/>
      </c>
    </row>
    <row r="32" customFormat="false" ht="15" hidden="false" customHeight="false" outlineLevel="0" collapsed="false">
      <c r="A32" s="51"/>
      <c r="B32" s="11" t="str">
        <f aca="false">IF(A32="","",INT((A32-'Start here'!$C$5)/7)+1)</f>
        <v/>
      </c>
      <c r="C32" s="20"/>
      <c r="D32" s="20"/>
      <c r="E32" s="20"/>
      <c r="F32" s="20"/>
      <c r="G32" s="11" t="str">
        <f aca="false">IF(OR(D32="",E32=""),"",IF(E32+10-IF(F32="",10,F32)&lt;=1,D32,ROUND(D32*(1+(E32+10-IF(F32="",10,F32))/30),1)))</f>
        <v/>
      </c>
      <c r="H32" s="20"/>
      <c r="I32" s="20"/>
      <c r="J32" s="11" t="str">
        <f aca="false">IF(OR(C32="",G32=""),"",IF(_xlfn.MAXIFS($G$13:G31,$C$13:C31,C32)=0,"",_xlfn.MAXIFS($G$13:G31,$C$13:C31,C32)))</f>
        <v/>
      </c>
      <c r="K32" s="11" t="str">
        <f aca="false">IF(OR(G32="",J32=""),"",IF(G32&lt;0.95*J32,"Below trend","OK"))</f>
        <v/>
      </c>
    </row>
    <row r="33" customFormat="false" ht="15" hidden="false" customHeight="false" outlineLevel="0" collapsed="false">
      <c r="A33" s="51"/>
      <c r="B33" s="11" t="str">
        <f aca="false">IF(A33="","",INT((A33-'Start here'!$C$5)/7)+1)</f>
        <v/>
      </c>
      <c r="C33" s="20"/>
      <c r="D33" s="20"/>
      <c r="E33" s="20"/>
      <c r="F33" s="20"/>
      <c r="G33" s="11" t="str">
        <f aca="false">IF(OR(D33="",E33=""),"",IF(E33+10-IF(F33="",10,F33)&lt;=1,D33,ROUND(D33*(1+(E33+10-IF(F33="",10,F33))/30),1)))</f>
        <v/>
      </c>
      <c r="H33" s="20"/>
      <c r="I33" s="20"/>
      <c r="J33" s="11" t="str">
        <f aca="false">IF(OR(C33="",G33=""),"",IF(_xlfn.MAXIFS($G$13:G32,$C$13:C32,C33)=0,"",_xlfn.MAXIFS($G$13:G32,$C$13:C32,C33)))</f>
        <v/>
      </c>
      <c r="K33" s="11" t="str">
        <f aca="false">IF(OR(G33="",J33=""),"",IF(G33&lt;0.95*J33,"Below trend","OK"))</f>
        <v/>
      </c>
    </row>
    <row r="34" customFormat="false" ht="15" hidden="false" customHeight="false" outlineLevel="0" collapsed="false">
      <c r="A34" s="51"/>
      <c r="B34" s="11" t="str">
        <f aca="false">IF(A34="","",INT((A34-'Start here'!$C$5)/7)+1)</f>
        <v/>
      </c>
      <c r="C34" s="20"/>
      <c r="D34" s="20"/>
      <c r="E34" s="20"/>
      <c r="F34" s="20"/>
      <c r="G34" s="11" t="str">
        <f aca="false">IF(OR(D34="",E34=""),"",IF(E34+10-IF(F34="",10,F34)&lt;=1,D34,ROUND(D34*(1+(E34+10-IF(F34="",10,F34))/30),1)))</f>
        <v/>
      </c>
      <c r="H34" s="20"/>
      <c r="I34" s="20"/>
      <c r="J34" s="11" t="str">
        <f aca="false">IF(OR(C34="",G34=""),"",IF(_xlfn.MAXIFS($G$13:G33,$C$13:C33,C34)=0,"",_xlfn.MAXIFS($G$13:G33,$C$13:C33,C34)))</f>
        <v/>
      </c>
      <c r="K34" s="11" t="str">
        <f aca="false">IF(OR(G34="",J34=""),"",IF(G34&lt;0.95*J34,"Below trend","OK"))</f>
        <v/>
      </c>
    </row>
    <row r="35" customFormat="false" ht="15" hidden="false" customHeight="false" outlineLevel="0" collapsed="false">
      <c r="A35" s="51"/>
      <c r="B35" s="11" t="str">
        <f aca="false">IF(A35="","",INT((A35-'Start here'!$C$5)/7)+1)</f>
        <v/>
      </c>
      <c r="C35" s="20"/>
      <c r="D35" s="20"/>
      <c r="E35" s="20"/>
      <c r="F35" s="20"/>
      <c r="G35" s="11" t="str">
        <f aca="false">IF(OR(D35="",E35=""),"",IF(E35+10-IF(F35="",10,F35)&lt;=1,D35,ROUND(D35*(1+(E35+10-IF(F35="",10,F35))/30),1)))</f>
        <v/>
      </c>
      <c r="H35" s="20"/>
      <c r="I35" s="20"/>
      <c r="J35" s="11" t="str">
        <f aca="false">IF(OR(C35="",G35=""),"",IF(_xlfn.MAXIFS($G$13:G34,$C$13:C34,C35)=0,"",_xlfn.MAXIFS($G$13:G34,$C$13:C34,C35)))</f>
        <v/>
      </c>
      <c r="K35" s="11" t="str">
        <f aca="false">IF(OR(G35="",J35=""),"",IF(G35&lt;0.95*J35,"Below trend","OK"))</f>
        <v/>
      </c>
    </row>
    <row r="36" customFormat="false" ht="15" hidden="false" customHeight="false" outlineLevel="0" collapsed="false">
      <c r="A36" s="51"/>
      <c r="B36" s="11" t="str">
        <f aca="false">IF(A36="","",INT((A36-'Start here'!$C$5)/7)+1)</f>
        <v/>
      </c>
      <c r="C36" s="20"/>
      <c r="D36" s="20"/>
      <c r="E36" s="20"/>
      <c r="F36" s="20"/>
      <c r="G36" s="11" t="str">
        <f aca="false">IF(OR(D36="",E36=""),"",IF(E36+10-IF(F36="",10,F36)&lt;=1,D36,ROUND(D36*(1+(E36+10-IF(F36="",10,F36))/30),1)))</f>
        <v/>
      </c>
      <c r="H36" s="20"/>
      <c r="I36" s="20"/>
      <c r="J36" s="11" t="str">
        <f aca="false">IF(OR(C36="",G36=""),"",IF(_xlfn.MAXIFS($G$13:G35,$C$13:C35,C36)=0,"",_xlfn.MAXIFS($G$13:G35,$C$13:C35,C36)))</f>
        <v/>
      </c>
      <c r="K36" s="11" t="str">
        <f aca="false">IF(OR(G36="",J36=""),"",IF(G36&lt;0.95*J36,"Below trend","OK"))</f>
        <v/>
      </c>
    </row>
    <row r="37" customFormat="false" ht="15" hidden="false" customHeight="false" outlineLevel="0" collapsed="false">
      <c r="A37" s="51"/>
      <c r="B37" s="11" t="str">
        <f aca="false">IF(A37="","",INT((A37-'Start here'!$C$5)/7)+1)</f>
        <v/>
      </c>
      <c r="C37" s="20"/>
      <c r="D37" s="20"/>
      <c r="E37" s="20"/>
      <c r="F37" s="20"/>
      <c r="G37" s="11" t="str">
        <f aca="false">IF(OR(D37="",E37=""),"",IF(E37+10-IF(F37="",10,F37)&lt;=1,D37,ROUND(D37*(1+(E37+10-IF(F37="",10,F37))/30),1)))</f>
        <v/>
      </c>
      <c r="H37" s="20"/>
      <c r="I37" s="20"/>
      <c r="J37" s="11" t="str">
        <f aca="false">IF(OR(C37="",G37=""),"",IF(_xlfn.MAXIFS($G$13:G36,$C$13:C36,C37)=0,"",_xlfn.MAXIFS($G$13:G36,$C$13:C36,C37)))</f>
        <v/>
      </c>
      <c r="K37" s="11" t="str">
        <f aca="false">IF(OR(G37="",J37=""),"",IF(G37&lt;0.95*J37,"Below trend","OK"))</f>
        <v/>
      </c>
    </row>
    <row r="38" customFormat="false" ht="15" hidden="false" customHeight="false" outlineLevel="0" collapsed="false">
      <c r="A38" s="51"/>
      <c r="B38" s="11" t="str">
        <f aca="false">IF(A38="","",INT((A38-'Start here'!$C$5)/7)+1)</f>
        <v/>
      </c>
      <c r="C38" s="20"/>
      <c r="D38" s="20"/>
      <c r="E38" s="20"/>
      <c r="F38" s="20"/>
      <c r="G38" s="11" t="str">
        <f aca="false">IF(OR(D38="",E38=""),"",IF(E38+10-IF(F38="",10,F38)&lt;=1,D38,ROUND(D38*(1+(E38+10-IF(F38="",10,F38))/30),1)))</f>
        <v/>
      </c>
      <c r="H38" s="20"/>
      <c r="I38" s="20"/>
      <c r="J38" s="11" t="str">
        <f aca="false">IF(OR(C38="",G38=""),"",IF(_xlfn.MAXIFS($G$13:G37,$C$13:C37,C38)=0,"",_xlfn.MAXIFS($G$13:G37,$C$13:C37,C38)))</f>
        <v/>
      </c>
      <c r="K38" s="11" t="str">
        <f aca="false">IF(OR(G38="",J38=""),"",IF(G38&lt;0.95*J38,"Below trend","OK"))</f>
        <v/>
      </c>
    </row>
    <row r="39" customFormat="false" ht="15" hidden="false" customHeight="false" outlineLevel="0" collapsed="false">
      <c r="A39" s="51"/>
      <c r="B39" s="11" t="str">
        <f aca="false">IF(A39="","",INT((A39-'Start here'!$C$5)/7)+1)</f>
        <v/>
      </c>
      <c r="C39" s="20"/>
      <c r="D39" s="20"/>
      <c r="E39" s="20"/>
      <c r="F39" s="20"/>
      <c r="G39" s="11" t="str">
        <f aca="false">IF(OR(D39="",E39=""),"",IF(E39+10-IF(F39="",10,F39)&lt;=1,D39,ROUND(D39*(1+(E39+10-IF(F39="",10,F39))/30),1)))</f>
        <v/>
      </c>
      <c r="H39" s="20"/>
      <c r="I39" s="20"/>
      <c r="J39" s="11" t="str">
        <f aca="false">IF(OR(C39="",G39=""),"",IF(_xlfn.MAXIFS($G$13:G38,$C$13:C38,C39)=0,"",_xlfn.MAXIFS($G$13:G38,$C$13:C38,C39)))</f>
        <v/>
      </c>
      <c r="K39" s="11" t="str">
        <f aca="false">IF(OR(G39="",J39=""),"",IF(G39&lt;0.95*J39,"Below trend","OK"))</f>
        <v/>
      </c>
    </row>
    <row r="40" customFormat="false" ht="15" hidden="false" customHeight="false" outlineLevel="0" collapsed="false">
      <c r="A40" s="51"/>
      <c r="B40" s="11" t="str">
        <f aca="false">IF(A40="","",INT((A40-'Start here'!$C$5)/7)+1)</f>
        <v/>
      </c>
      <c r="C40" s="20"/>
      <c r="D40" s="20"/>
      <c r="E40" s="20"/>
      <c r="F40" s="20"/>
      <c r="G40" s="11" t="str">
        <f aca="false">IF(OR(D40="",E40=""),"",IF(E40+10-IF(F40="",10,F40)&lt;=1,D40,ROUND(D40*(1+(E40+10-IF(F40="",10,F40))/30),1)))</f>
        <v/>
      </c>
      <c r="H40" s="20"/>
      <c r="I40" s="20"/>
      <c r="J40" s="11" t="str">
        <f aca="false">IF(OR(C40="",G40=""),"",IF(_xlfn.MAXIFS($G$13:G39,$C$13:C39,C40)=0,"",_xlfn.MAXIFS($G$13:G39,$C$13:C39,C40)))</f>
        <v/>
      </c>
      <c r="K40" s="11" t="str">
        <f aca="false">IF(OR(G40="",J40=""),"",IF(G40&lt;0.95*J40,"Below trend","OK"))</f>
        <v/>
      </c>
    </row>
    <row r="41" customFormat="false" ht="15" hidden="false" customHeight="false" outlineLevel="0" collapsed="false">
      <c r="A41" s="51"/>
      <c r="B41" s="11" t="str">
        <f aca="false">IF(A41="","",INT((A41-'Start here'!$C$5)/7)+1)</f>
        <v/>
      </c>
      <c r="C41" s="20"/>
      <c r="D41" s="20"/>
      <c r="E41" s="20"/>
      <c r="F41" s="20"/>
      <c r="G41" s="11" t="str">
        <f aca="false">IF(OR(D41="",E41=""),"",IF(E41+10-IF(F41="",10,F41)&lt;=1,D41,ROUND(D41*(1+(E41+10-IF(F41="",10,F41))/30),1)))</f>
        <v/>
      </c>
      <c r="H41" s="20"/>
      <c r="I41" s="20"/>
      <c r="J41" s="11" t="str">
        <f aca="false">IF(OR(C41="",G41=""),"",IF(_xlfn.MAXIFS($G$13:G40,$C$13:C40,C41)=0,"",_xlfn.MAXIFS($G$13:G40,$C$13:C40,C41)))</f>
        <v/>
      </c>
      <c r="K41" s="11" t="str">
        <f aca="false">IF(OR(G41="",J41=""),"",IF(G41&lt;0.95*J41,"Below trend","OK"))</f>
        <v/>
      </c>
    </row>
    <row r="42" customFormat="false" ht="15" hidden="false" customHeight="false" outlineLevel="0" collapsed="false">
      <c r="A42" s="51"/>
      <c r="B42" s="11" t="str">
        <f aca="false">IF(A42="","",INT((A42-'Start here'!$C$5)/7)+1)</f>
        <v/>
      </c>
      <c r="C42" s="20"/>
      <c r="D42" s="20"/>
      <c r="E42" s="20"/>
      <c r="F42" s="20"/>
      <c r="G42" s="11" t="str">
        <f aca="false">IF(OR(D42="",E42=""),"",IF(E42+10-IF(F42="",10,F42)&lt;=1,D42,ROUND(D42*(1+(E42+10-IF(F42="",10,F42))/30),1)))</f>
        <v/>
      </c>
      <c r="H42" s="20"/>
      <c r="I42" s="20"/>
      <c r="J42" s="11" t="str">
        <f aca="false">IF(OR(C42="",G42=""),"",IF(_xlfn.MAXIFS($G$13:G41,$C$13:C41,C42)=0,"",_xlfn.MAXIFS($G$13:G41,$C$13:C41,C42)))</f>
        <v/>
      </c>
      <c r="K42" s="11" t="str">
        <f aca="false">IF(OR(G42="",J42=""),"",IF(G42&lt;0.95*J42,"Below trend","OK"))</f>
        <v/>
      </c>
    </row>
    <row r="43" customFormat="false" ht="15" hidden="false" customHeight="false" outlineLevel="0" collapsed="false">
      <c r="A43" s="51"/>
      <c r="B43" s="11" t="str">
        <f aca="false">IF(A43="","",INT((A43-'Start here'!$C$5)/7)+1)</f>
        <v/>
      </c>
      <c r="C43" s="20"/>
      <c r="D43" s="20"/>
      <c r="E43" s="20"/>
      <c r="F43" s="20"/>
      <c r="G43" s="11" t="str">
        <f aca="false">IF(OR(D43="",E43=""),"",IF(E43+10-IF(F43="",10,F43)&lt;=1,D43,ROUND(D43*(1+(E43+10-IF(F43="",10,F43))/30),1)))</f>
        <v/>
      </c>
      <c r="H43" s="20"/>
      <c r="I43" s="20"/>
      <c r="J43" s="11" t="str">
        <f aca="false">IF(OR(C43="",G43=""),"",IF(_xlfn.MAXIFS($G$13:G42,$C$13:C42,C43)=0,"",_xlfn.MAXIFS($G$13:G42,$C$13:C42,C43)))</f>
        <v/>
      </c>
      <c r="K43" s="11" t="str">
        <f aca="false">IF(OR(G43="",J43=""),"",IF(G43&lt;0.95*J43,"Below trend","OK"))</f>
        <v/>
      </c>
    </row>
    <row r="44" customFormat="false" ht="15" hidden="false" customHeight="false" outlineLevel="0" collapsed="false">
      <c r="A44" s="51"/>
      <c r="B44" s="11" t="str">
        <f aca="false">IF(A44="","",INT((A44-'Start here'!$C$5)/7)+1)</f>
        <v/>
      </c>
      <c r="C44" s="20"/>
      <c r="D44" s="20"/>
      <c r="E44" s="20"/>
      <c r="F44" s="20"/>
      <c r="G44" s="11" t="str">
        <f aca="false">IF(OR(D44="",E44=""),"",IF(E44+10-IF(F44="",10,F44)&lt;=1,D44,ROUND(D44*(1+(E44+10-IF(F44="",10,F44))/30),1)))</f>
        <v/>
      </c>
      <c r="H44" s="20"/>
      <c r="I44" s="20"/>
      <c r="J44" s="11" t="str">
        <f aca="false">IF(OR(C44="",G44=""),"",IF(_xlfn.MAXIFS($G$13:G43,$C$13:C43,C44)=0,"",_xlfn.MAXIFS($G$13:G43,$C$13:C43,C44)))</f>
        <v/>
      </c>
      <c r="K44" s="11" t="str">
        <f aca="false">IF(OR(G44="",J44=""),"",IF(G44&lt;0.95*J44,"Below trend","OK"))</f>
        <v/>
      </c>
    </row>
    <row r="45" customFormat="false" ht="15" hidden="false" customHeight="false" outlineLevel="0" collapsed="false">
      <c r="A45" s="51"/>
      <c r="B45" s="11" t="str">
        <f aca="false">IF(A45="","",INT((A45-'Start here'!$C$5)/7)+1)</f>
        <v/>
      </c>
      <c r="C45" s="20"/>
      <c r="D45" s="20"/>
      <c r="E45" s="20"/>
      <c r="F45" s="20"/>
      <c r="G45" s="11" t="str">
        <f aca="false">IF(OR(D45="",E45=""),"",IF(E45+10-IF(F45="",10,F45)&lt;=1,D45,ROUND(D45*(1+(E45+10-IF(F45="",10,F45))/30),1)))</f>
        <v/>
      </c>
      <c r="H45" s="20"/>
      <c r="I45" s="20"/>
      <c r="J45" s="11" t="str">
        <f aca="false">IF(OR(C45="",G45=""),"",IF(_xlfn.MAXIFS($G$13:G44,$C$13:C44,C45)=0,"",_xlfn.MAXIFS($G$13:G44,$C$13:C44,C45)))</f>
        <v/>
      </c>
      <c r="K45" s="11" t="str">
        <f aca="false">IF(OR(G45="",J45=""),"",IF(G45&lt;0.95*J45,"Below trend","OK"))</f>
        <v/>
      </c>
    </row>
    <row r="46" customFormat="false" ht="15" hidden="false" customHeight="false" outlineLevel="0" collapsed="false">
      <c r="A46" s="51"/>
      <c r="B46" s="11" t="str">
        <f aca="false">IF(A46="","",INT((A46-'Start here'!$C$5)/7)+1)</f>
        <v/>
      </c>
      <c r="C46" s="20"/>
      <c r="D46" s="20"/>
      <c r="E46" s="20"/>
      <c r="F46" s="20"/>
      <c r="G46" s="11" t="str">
        <f aca="false">IF(OR(D46="",E46=""),"",IF(E46+10-IF(F46="",10,F46)&lt;=1,D46,ROUND(D46*(1+(E46+10-IF(F46="",10,F46))/30),1)))</f>
        <v/>
      </c>
      <c r="H46" s="20"/>
      <c r="I46" s="20"/>
      <c r="J46" s="11" t="str">
        <f aca="false">IF(OR(C46="",G46=""),"",IF(_xlfn.MAXIFS($G$13:G45,$C$13:C45,C46)=0,"",_xlfn.MAXIFS($G$13:G45,$C$13:C45,C46)))</f>
        <v/>
      </c>
      <c r="K46" s="11" t="str">
        <f aca="false">IF(OR(G46="",J46=""),"",IF(G46&lt;0.95*J46,"Below trend","OK"))</f>
        <v/>
      </c>
    </row>
    <row r="47" customFormat="false" ht="15" hidden="false" customHeight="false" outlineLevel="0" collapsed="false">
      <c r="A47" s="51"/>
      <c r="B47" s="11" t="str">
        <f aca="false">IF(A47="","",INT((A47-'Start here'!$C$5)/7)+1)</f>
        <v/>
      </c>
      <c r="C47" s="20"/>
      <c r="D47" s="20"/>
      <c r="E47" s="20"/>
      <c r="F47" s="20"/>
      <c r="G47" s="11" t="str">
        <f aca="false">IF(OR(D47="",E47=""),"",IF(E47+10-IF(F47="",10,F47)&lt;=1,D47,ROUND(D47*(1+(E47+10-IF(F47="",10,F47))/30),1)))</f>
        <v/>
      </c>
      <c r="H47" s="20"/>
      <c r="I47" s="20"/>
      <c r="J47" s="11" t="str">
        <f aca="false">IF(OR(C47="",G47=""),"",IF(_xlfn.MAXIFS($G$13:G46,$C$13:C46,C47)=0,"",_xlfn.MAXIFS($G$13:G46,$C$13:C46,C47)))</f>
        <v/>
      </c>
      <c r="K47" s="11" t="str">
        <f aca="false">IF(OR(G47="",J47=""),"",IF(G47&lt;0.95*J47,"Below trend","OK"))</f>
        <v/>
      </c>
    </row>
    <row r="48" customFormat="false" ht="15" hidden="false" customHeight="false" outlineLevel="0" collapsed="false">
      <c r="A48" s="51"/>
      <c r="B48" s="11" t="str">
        <f aca="false">IF(A48="","",INT((A48-'Start here'!$C$5)/7)+1)</f>
        <v/>
      </c>
      <c r="C48" s="20"/>
      <c r="D48" s="20"/>
      <c r="E48" s="20"/>
      <c r="F48" s="20"/>
      <c r="G48" s="11" t="str">
        <f aca="false">IF(OR(D48="",E48=""),"",IF(E48+10-IF(F48="",10,F48)&lt;=1,D48,ROUND(D48*(1+(E48+10-IF(F48="",10,F48))/30),1)))</f>
        <v/>
      </c>
      <c r="H48" s="20"/>
      <c r="I48" s="20"/>
      <c r="J48" s="11" t="str">
        <f aca="false">IF(OR(C48="",G48=""),"",IF(_xlfn.MAXIFS($G$13:G47,$C$13:C47,C48)=0,"",_xlfn.MAXIFS($G$13:G47,$C$13:C47,C48)))</f>
        <v/>
      </c>
      <c r="K48" s="11" t="str">
        <f aca="false">IF(OR(G48="",J48=""),"",IF(G48&lt;0.95*J48,"Below trend","OK"))</f>
        <v/>
      </c>
    </row>
    <row r="49" customFormat="false" ht="15" hidden="false" customHeight="false" outlineLevel="0" collapsed="false">
      <c r="A49" s="51"/>
      <c r="B49" s="11" t="str">
        <f aca="false">IF(A49="","",INT((A49-'Start here'!$C$5)/7)+1)</f>
        <v/>
      </c>
      <c r="C49" s="20"/>
      <c r="D49" s="20"/>
      <c r="E49" s="20"/>
      <c r="F49" s="20"/>
      <c r="G49" s="11" t="str">
        <f aca="false">IF(OR(D49="",E49=""),"",IF(E49+10-IF(F49="",10,F49)&lt;=1,D49,ROUND(D49*(1+(E49+10-IF(F49="",10,F49))/30),1)))</f>
        <v/>
      </c>
      <c r="H49" s="20"/>
      <c r="I49" s="20"/>
      <c r="J49" s="11" t="str">
        <f aca="false">IF(OR(C49="",G49=""),"",IF(_xlfn.MAXIFS($G$13:G48,$C$13:C48,C49)=0,"",_xlfn.MAXIFS($G$13:G48,$C$13:C48,C49)))</f>
        <v/>
      </c>
      <c r="K49" s="11" t="str">
        <f aca="false">IF(OR(G49="",J49=""),"",IF(G49&lt;0.95*J49,"Below trend","OK"))</f>
        <v/>
      </c>
    </row>
    <row r="50" customFormat="false" ht="15" hidden="false" customHeight="false" outlineLevel="0" collapsed="false">
      <c r="A50" s="51"/>
      <c r="B50" s="11" t="str">
        <f aca="false">IF(A50="","",INT((A50-'Start here'!$C$5)/7)+1)</f>
        <v/>
      </c>
      <c r="C50" s="20"/>
      <c r="D50" s="20"/>
      <c r="E50" s="20"/>
      <c r="F50" s="20"/>
      <c r="G50" s="11" t="str">
        <f aca="false">IF(OR(D50="",E50=""),"",IF(E50+10-IF(F50="",10,F50)&lt;=1,D50,ROUND(D50*(1+(E50+10-IF(F50="",10,F50))/30),1)))</f>
        <v/>
      </c>
      <c r="H50" s="20"/>
      <c r="I50" s="20"/>
      <c r="J50" s="11" t="str">
        <f aca="false">IF(OR(C50="",G50=""),"",IF(_xlfn.MAXIFS($G$13:G49,$C$13:C49,C50)=0,"",_xlfn.MAXIFS($G$13:G49,$C$13:C49,C50)))</f>
        <v/>
      </c>
      <c r="K50" s="11" t="str">
        <f aca="false">IF(OR(G50="",J50=""),"",IF(G50&lt;0.95*J50,"Below trend","OK"))</f>
        <v/>
      </c>
    </row>
    <row r="51" customFormat="false" ht="15" hidden="false" customHeight="false" outlineLevel="0" collapsed="false">
      <c r="A51" s="51"/>
      <c r="B51" s="11" t="str">
        <f aca="false">IF(A51="","",INT((A51-'Start here'!$C$5)/7)+1)</f>
        <v/>
      </c>
      <c r="C51" s="20"/>
      <c r="D51" s="20"/>
      <c r="E51" s="20"/>
      <c r="F51" s="20"/>
      <c r="G51" s="11" t="str">
        <f aca="false">IF(OR(D51="",E51=""),"",IF(E51+10-IF(F51="",10,F51)&lt;=1,D51,ROUND(D51*(1+(E51+10-IF(F51="",10,F51))/30),1)))</f>
        <v/>
      </c>
      <c r="H51" s="20"/>
      <c r="I51" s="20"/>
      <c r="J51" s="11" t="str">
        <f aca="false">IF(OR(C51="",G51=""),"",IF(_xlfn.MAXIFS($G$13:G50,$C$13:C50,C51)=0,"",_xlfn.MAXIFS($G$13:G50,$C$13:C50,C51)))</f>
        <v/>
      </c>
      <c r="K51" s="11" t="str">
        <f aca="false">IF(OR(G51="",J51=""),"",IF(G51&lt;0.95*J51,"Below trend","OK"))</f>
        <v/>
      </c>
    </row>
    <row r="52" customFormat="false" ht="15" hidden="false" customHeight="false" outlineLevel="0" collapsed="false">
      <c r="A52" s="51"/>
      <c r="B52" s="11" t="str">
        <f aca="false">IF(A52="","",INT((A52-'Start here'!$C$5)/7)+1)</f>
        <v/>
      </c>
      <c r="C52" s="20"/>
      <c r="D52" s="20"/>
      <c r="E52" s="20"/>
      <c r="F52" s="20"/>
      <c r="G52" s="11" t="str">
        <f aca="false">IF(OR(D52="",E52=""),"",IF(E52+10-IF(F52="",10,F52)&lt;=1,D52,ROUND(D52*(1+(E52+10-IF(F52="",10,F52))/30),1)))</f>
        <v/>
      </c>
      <c r="H52" s="20"/>
      <c r="I52" s="20"/>
      <c r="J52" s="11" t="str">
        <f aca="false">IF(OR(C52="",G52=""),"",IF(_xlfn.MAXIFS($G$13:G51,$C$13:C51,C52)=0,"",_xlfn.MAXIFS($G$13:G51,$C$13:C51,C52)))</f>
        <v/>
      </c>
      <c r="K52" s="11" t="str">
        <f aca="false">IF(OR(G52="",J52=""),"",IF(G52&lt;0.95*J52,"Below trend","OK"))</f>
        <v/>
      </c>
    </row>
    <row r="53" customFormat="false" ht="15" hidden="false" customHeight="false" outlineLevel="0" collapsed="false">
      <c r="A53" s="51"/>
      <c r="B53" s="11" t="str">
        <f aca="false">IF(A53="","",INT((A53-'Start here'!$C$5)/7)+1)</f>
        <v/>
      </c>
      <c r="C53" s="20"/>
      <c r="D53" s="20"/>
      <c r="E53" s="20"/>
      <c r="F53" s="20"/>
      <c r="G53" s="11" t="str">
        <f aca="false">IF(OR(D53="",E53=""),"",IF(E53+10-IF(F53="",10,F53)&lt;=1,D53,ROUND(D53*(1+(E53+10-IF(F53="",10,F53))/30),1)))</f>
        <v/>
      </c>
      <c r="H53" s="20"/>
      <c r="I53" s="20"/>
      <c r="J53" s="11" t="str">
        <f aca="false">IF(OR(C53="",G53=""),"",IF(_xlfn.MAXIFS($G$13:G52,$C$13:C52,C53)=0,"",_xlfn.MAXIFS($G$13:G52,$C$13:C52,C53)))</f>
        <v/>
      </c>
      <c r="K53" s="11" t="str">
        <f aca="false">IF(OR(G53="",J53=""),"",IF(G53&lt;0.95*J53,"Below trend","OK"))</f>
        <v/>
      </c>
    </row>
    <row r="54" customFormat="false" ht="15" hidden="false" customHeight="false" outlineLevel="0" collapsed="false">
      <c r="A54" s="51"/>
      <c r="B54" s="11" t="str">
        <f aca="false">IF(A54="","",INT((A54-'Start here'!$C$5)/7)+1)</f>
        <v/>
      </c>
      <c r="C54" s="20"/>
      <c r="D54" s="20"/>
      <c r="E54" s="20"/>
      <c r="F54" s="20"/>
      <c r="G54" s="11" t="str">
        <f aca="false">IF(OR(D54="",E54=""),"",IF(E54+10-IF(F54="",10,F54)&lt;=1,D54,ROUND(D54*(1+(E54+10-IF(F54="",10,F54))/30),1)))</f>
        <v/>
      </c>
      <c r="H54" s="20"/>
      <c r="I54" s="20"/>
      <c r="J54" s="11" t="str">
        <f aca="false">IF(OR(C54="",G54=""),"",IF(_xlfn.MAXIFS($G$13:G53,$C$13:C53,C54)=0,"",_xlfn.MAXIFS($G$13:G53,$C$13:C53,C54)))</f>
        <v/>
      </c>
      <c r="K54" s="11" t="str">
        <f aca="false">IF(OR(G54="",J54=""),"",IF(G54&lt;0.95*J54,"Below trend","OK"))</f>
        <v/>
      </c>
    </row>
    <row r="55" customFormat="false" ht="15" hidden="false" customHeight="false" outlineLevel="0" collapsed="false">
      <c r="A55" s="51"/>
      <c r="B55" s="11" t="str">
        <f aca="false">IF(A55="","",INT((A55-'Start here'!$C$5)/7)+1)</f>
        <v/>
      </c>
      <c r="C55" s="20"/>
      <c r="D55" s="20"/>
      <c r="E55" s="20"/>
      <c r="F55" s="20"/>
      <c r="G55" s="11" t="str">
        <f aca="false">IF(OR(D55="",E55=""),"",IF(E55+10-IF(F55="",10,F55)&lt;=1,D55,ROUND(D55*(1+(E55+10-IF(F55="",10,F55))/30),1)))</f>
        <v/>
      </c>
      <c r="H55" s="20"/>
      <c r="I55" s="20"/>
      <c r="J55" s="11" t="str">
        <f aca="false">IF(OR(C55="",G55=""),"",IF(_xlfn.MAXIFS($G$13:G54,$C$13:C54,C55)=0,"",_xlfn.MAXIFS($G$13:G54,$C$13:C54,C55)))</f>
        <v/>
      </c>
      <c r="K55" s="11" t="str">
        <f aca="false">IF(OR(G55="",J55=""),"",IF(G55&lt;0.95*J55,"Below trend","OK"))</f>
        <v/>
      </c>
    </row>
    <row r="56" customFormat="false" ht="15" hidden="false" customHeight="false" outlineLevel="0" collapsed="false">
      <c r="A56" s="51"/>
      <c r="B56" s="11" t="str">
        <f aca="false">IF(A56="","",INT((A56-'Start here'!$C$5)/7)+1)</f>
        <v/>
      </c>
      <c r="C56" s="20"/>
      <c r="D56" s="20"/>
      <c r="E56" s="20"/>
      <c r="F56" s="20"/>
      <c r="G56" s="11" t="str">
        <f aca="false">IF(OR(D56="",E56=""),"",IF(E56+10-IF(F56="",10,F56)&lt;=1,D56,ROUND(D56*(1+(E56+10-IF(F56="",10,F56))/30),1)))</f>
        <v/>
      </c>
      <c r="H56" s="20"/>
      <c r="I56" s="20"/>
      <c r="J56" s="11" t="str">
        <f aca="false">IF(OR(C56="",G56=""),"",IF(_xlfn.MAXIFS($G$13:G55,$C$13:C55,C56)=0,"",_xlfn.MAXIFS($G$13:G55,$C$13:C55,C56)))</f>
        <v/>
      </c>
      <c r="K56" s="11" t="str">
        <f aca="false">IF(OR(G56="",J56=""),"",IF(G56&lt;0.95*J56,"Below trend","OK"))</f>
        <v/>
      </c>
    </row>
    <row r="57" customFormat="false" ht="15" hidden="false" customHeight="false" outlineLevel="0" collapsed="false">
      <c r="A57" s="51"/>
      <c r="B57" s="11" t="str">
        <f aca="false">IF(A57="","",INT((A57-'Start here'!$C$5)/7)+1)</f>
        <v/>
      </c>
      <c r="C57" s="20"/>
      <c r="D57" s="20"/>
      <c r="E57" s="20"/>
      <c r="F57" s="20"/>
      <c r="G57" s="11" t="str">
        <f aca="false">IF(OR(D57="",E57=""),"",IF(E57+10-IF(F57="",10,F57)&lt;=1,D57,ROUND(D57*(1+(E57+10-IF(F57="",10,F57))/30),1)))</f>
        <v/>
      </c>
      <c r="H57" s="20"/>
      <c r="I57" s="20"/>
      <c r="J57" s="11" t="str">
        <f aca="false">IF(OR(C57="",G57=""),"",IF(_xlfn.MAXIFS($G$13:G56,$C$13:C56,C57)=0,"",_xlfn.MAXIFS($G$13:G56,$C$13:C56,C57)))</f>
        <v/>
      </c>
      <c r="K57" s="11" t="str">
        <f aca="false">IF(OR(G57="",J57=""),"",IF(G57&lt;0.95*J57,"Below trend","OK"))</f>
        <v/>
      </c>
    </row>
    <row r="58" customFormat="false" ht="15" hidden="false" customHeight="false" outlineLevel="0" collapsed="false">
      <c r="A58" s="51"/>
      <c r="B58" s="11" t="str">
        <f aca="false">IF(A58="","",INT((A58-'Start here'!$C$5)/7)+1)</f>
        <v/>
      </c>
      <c r="C58" s="20"/>
      <c r="D58" s="20"/>
      <c r="E58" s="20"/>
      <c r="F58" s="20"/>
      <c r="G58" s="11" t="str">
        <f aca="false">IF(OR(D58="",E58=""),"",IF(E58+10-IF(F58="",10,F58)&lt;=1,D58,ROUND(D58*(1+(E58+10-IF(F58="",10,F58))/30),1)))</f>
        <v/>
      </c>
      <c r="H58" s="20"/>
      <c r="I58" s="20"/>
      <c r="J58" s="11" t="str">
        <f aca="false">IF(OR(C58="",G58=""),"",IF(_xlfn.MAXIFS($G$13:G57,$C$13:C57,C58)=0,"",_xlfn.MAXIFS($G$13:G57,$C$13:C57,C58)))</f>
        <v/>
      </c>
      <c r="K58" s="11" t="str">
        <f aca="false">IF(OR(G58="",J58=""),"",IF(G58&lt;0.95*J58,"Below trend","OK"))</f>
        <v/>
      </c>
    </row>
    <row r="59" customFormat="false" ht="15" hidden="false" customHeight="false" outlineLevel="0" collapsed="false">
      <c r="A59" s="51"/>
      <c r="B59" s="11" t="str">
        <f aca="false">IF(A59="","",INT((A59-'Start here'!$C$5)/7)+1)</f>
        <v/>
      </c>
      <c r="C59" s="20"/>
      <c r="D59" s="20"/>
      <c r="E59" s="20"/>
      <c r="F59" s="20"/>
      <c r="G59" s="11" t="str">
        <f aca="false">IF(OR(D59="",E59=""),"",IF(E59+10-IF(F59="",10,F59)&lt;=1,D59,ROUND(D59*(1+(E59+10-IF(F59="",10,F59))/30),1)))</f>
        <v/>
      </c>
      <c r="H59" s="20"/>
      <c r="I59" s="20"/>
      <c r="J59" s="11" t="str">
        <f aca="false">IF(OR(C59="",G59=""),"",IF(_xlfn.MAXIFS($G$13:G58,$C$13:C58,C59)=0,"",_xlfn.MAXIFS($G$13:G58,$C$13:C58,C59)))</f>
        <v/>
      </c>
      <c r="K59" s="11" t="str">
        <f aca="false">IF(OR(G59="",J59=""),"",IF(G59&lt;0.95*J59,"Below trend","OK"))</f>
        <v/>
      </c>
    </row>
    <row r="60" customFormat="false" ht="15" hidden="false" customHeight="false" outlineLevel="0" collapsed="false">
      <c r="A60" s="51"/>
      <c r="B60" s="11" t="str">
        <f aca="false">IF(A60="","",INT((A60-'Start here'!$C$5)/7)+1)</f>
        <v/>
      </c>
      <c r="C60" s="20"/>
      <c r="D60" s="20"/>
      <c r="E60" s="20"/>
      <c r="F60" s="20"/>
      <c r="G60" s="11" t="str">
        <f aca="false">IF(OR(D60="",E60=""),"",IF(E60+10-IF(F60="",10,F60)&lt;=1,D60,ROUND(D60*(1+(E60+10-IF(F60="",10,F60))/30),1)))</f>
        <v/>
      </c>
      <c r="H60" s="20"/>
      <c r="I60" s="20"/>
      <c r="J60" s="11" t="str">
        <f aca="false">IF(OR(C60="",G60=""),"",IF(_xlfn.MAXIFS($G$13:G59,$C$13:C59,C60)=0,"",_xlfn.MAXIFS($G$13:G59,$C$13:C59,C60)))</f>
        <v/>
      </c>
      <c r="K60" s="11" t="str">
        <f aca="false">IF(OR(G60="",J60=""),"",IF(G60&lt;0.95*J60,"Below trend","OK"))</f>
        <v/>
      </c>
    </row>
    <row r="61" customFormat="false" ht="15" hidden="false" customHeight="false" outlineLevel="0" collapsed="false">
      <c r="A61" s="51"/>
      <c r="B61" s="11" t="str">
        <f aca="false">IF(A61="","",INT((A61-'Start here'!$C$5)/7)+1)</f>
        <v/>
      </c>
      <c r="C61" s="20"/>
      <c r="D61" s="20"/>
      <c r="E61" s="20"/>
      <c r="F61" s="20"/>
      <c r="G61" s="11" t="str">
        <f aca="false">IF(OR(D61="",E61=""),"",IF(E61+10-IF(F61="",10,F61)&lt;=1,D61,ROUND(D61*(1+(E61+10-IF(F61="",10,F61))/30),1)))</f>
        <v/>
      </c>
      <c r="H61" s="20"/>
      <c r="I61" s="20"/>
      <c r="J61" s="11" t="str">
        <f aca="false">IF(OR(C61="",G61=""),"",IF(_xlfn.MAXIFS($G$13:G60,$C$13:C60,C61)=0,"",_xlfn.MAXIFS($G$13:G60,$C$13:C60,C61)))</f>
        <v/>
      </c>
      <c r="K61" s="11" t="str">
        <f aca="false">IF(OR(G61="",J61=""),"",IF(G61&lt;0.95*J61,"Below trend","OK"))</f>
        <v/>
      </c>
    </row>
    <row r="62" customFormat="false" ht="15" hidden="false" customHeight="false" outlineLevel="0" collapsed="false">
      <c r="A62" s="51"/>
      <c r="B62" s="11" t="str">
        <f aca="false">IF(A62="","",INT((A62-'Start here'!$C$5)/7)+1)</f>
        <v/>
      </c>
      <c r="C62" s="20"/>
      <c r="D62" s="20"/>
      <c r="E62" s="20"/>
      <c r="F62" s="20"/>
      <c r="G62" s="11" t="str">
        <f aca="false">IF(OR(D62="",E62=""),"",IF(E62+10-IF(F62="",10,F62)&lt;=1,D62,ROUND(D62*(1+(E62+10-IF(F62="",10,F62))/30),1)))</f>
        <v/>
      </c>
      <c r="H62" s="20"/>
      <c r="I62" s="20"/>
      <c r="J62" s="11" t="str">
        <f aca="false">IF(OR(C62="",G62=""),"",IF(_xlfn.MAXIFS($G$13:G61,$C$13:C61,C62)=0,"",_xlfn.MAXIFS($G$13:G61,$C$13:C61,C62)))</f>
        <v/>
      </c>
      <c r="K62" s="11" t="str">
        <f aca="false">IF(OR(G62="",J62=""),"",IF(G62&lt;0.95*J62,"Below trend","OK"))</f>
        <v/>
      </c>
    </row>
    <row r="63" customFormat="false" ht="15" hidden="false" customHeight="false" outlineLevel="0" collapsed="false">
      <c r="A63" s="51"/>
      <c r="B63" s="11" t="str">
        <f aca="false">IF(A63="","",INT((A63-'Start here'!$C$5)/7)+1)</f>
        <v/>
      </c>
      <c r="C63" s="20"/>
      <c r="D63" s="20"/>
      <c r="E63" s="20"/>
      <c r="F63" s="20"/>
      <c r="G63" s="11" t="str">
        <f aca="false">IF(OR(D63="",E63=""),"",IF(E63+10-IF(F63="",10,F63)&lt;=1,D63,ROUND(D63*(1+(E63+10-IF(F63="",10,F63))/30),1)))</f>
        <v/>
      </c>
      <c r="H63" s="20"/>
      <c r="I63" s="20"/>
      <c r="J63" s="11" t="str">
        <f aca="false">IF(OR(C63="",G63=""),"",IF(_xlfn.MAXIFS($G$13:G62,$C$13:C62,C63)=0,"",_xlfn.MAXIFS($G$13:G62,$C$13:C62,C63)))</f>
        <v/>
      </c>
      <c r="K63" s="11" t="str">
        <f aca="false">IF(OR(G63="",J63=""),"",IF(G63&lt;0.95*J63,"Below trend","OK"))</f>
        <v/>
      </c>
    </row>
    <row r="64" customFormat="false" ht="15" hidden="false" customHeight="false" outlineLevel="0" collapsed="false">
      <c r="A64" s="51"/>
      <c r="B64" s="11" t="str">
        <f aca="false">IF(A64="","",INT((A64-'Start here'!$C$5)/7)+1)</f>
        <v/>
      </c>
      <c r="C64" s="20"/>
      <c r="D64" s="20"/>
      <c r="E64" s="20"/>
      <c r="F64" s="20"/>
      <c r="G64" s="11" t="str">
        <f aca="false">IF(OR(D64="",E64=""),"",IF(E64+10-IF(F64="",10,F64)&lt;=1,D64,ROUND(D64*(1+(E64+10-IF(F64="",10,F64))/30),1)))</f>
        <v/>
      </c>
      <c r="H64" s="20"/>
      <c r="I64" s="20"/>
      <c r="J64" s="11" t="str">
        <f aca="false">IF(OR(C64="",G64=""),"",IF(_xlfn.MAXIFS($G$13:G63,$C$13:C63,C64)=0,"",_xlfn.MAXIFS($G$13:G63,$C$13:C63,C64)))</f>
        <v/>
      </c>
      <c r="K64" s="11" t="str">
        <f aca="false">IF(OR(G64="",J64=""),"",IF(G64&lt;0.95*J64,"Below trend","OK"))</f>
        <v/>
      </c>
    </row>
    <row r="65" customFormat="false" ht="15" hidden="false" customHeight="false" outlineLevel="0" collapsed="false">
      <c r="A65" s="51"/>
      <c r="B65" s="11" t="str">
        <f aca="false">IF(A65="","",INT((A65-'Start here'!$C$5)/7)+1)</f>
        <v/>
      </c>
      <c r="C65" s="20"/>
      <c r="D65" s="20"/>
      <c r="E65" s="20"/>
      <c r="F65" s="20"/>
      <c r="G65" s="11" t="str">
        <f aca="false">IF(OR(D65="",E65=""),"",IF(E65+10-IF(F65="",10,F65)&lt;=1,D65,ROUND(D65*(1+(E65+10-IF(F65="",10,F65))/30),1)))</f>
        <v/>
      </c>
      <c r="H65" s="20"/>
      <c r="I65" s="20"/>
      <c r="J65" s="11" t="str">
        <f aca="false">IF(OR(C65="",G65=""),"",IF(_xlfn.MAXIFS($G$13:G64,$C$13:C64,C65)=0,"",_xlfn.MAXIFS($G$13:G64,$C$13:C64,C65)))</f>
        <v/>
      </c>
      <c r="K65" s="11" t="str">
        <f aca="false">IF(OR(G65="",J65=""),"",IF(G65&lt;0.95*J65,"Below trend","OK"))</f>
        <v/>
      </c>
    </row>
    <row r="66" customFormat="false" ht="15" hidden="false" customHeight="false" outlineLevel="0" collapsed="false">
      <c r="A66" s="51"/>
      <c r="B66" s="11" t="str">
        <f aca="false">IF(A66="","",INT((A66-'Start here'!$C$5)/7)+1)</f>
        <v/>
      </c>
      <c r="C66" s="20"/>
      <c r="D66" s="20"/>
      <c r="E66" s="20"/>
      <c r="F66" s="20"/>
      <c r="G66" s="11" t="str">
        <f aca="false">IF(OR(D66="",E66=""),"",IF(E66+10-IF(F66="",10,F66)&lt;=1,D66,ROUND(D66*(1+(E66+10-IF(F66="",10,F66))/30),1)))</f>
        <v/>
      </c>
      <c r="H66" s="20"/>
      <c r="I66" s="20"/>
      <c r="J66" s="11" t="str">
        <f aca="false">IF(OR(C66="",G66=""),"",IF(_xlfn.MAXIFS($G$13:G65,$C$13:C65,C66)=0,"",_xlfn.MAXIFS($G$13:G65,$C$13:C65,C66)))</f>
        <v/>
      </c>
      <c r="K66" s="11" t="str">
        <f aca="false">IF(OR(G66="",J66=""),"",IF(G66&lt;0.95*J66,"Below trend","OK"))</f>
        <v/>
      </c>
    </row>
    <row r="67" customFormat="false" ht="15" hidden="false" customHeight="false" outlineLevel="0" collapsed="false">
      <c r="A67" s="51"/>
      <c r="B67" s="11" t="str">
        <f aca="false">IF(A67="","",INT((A67-'Start here'!$C$5)/7)+1)</f>
        <v/>
      </c>
      <c r="C67" s="20"/>
      <c r="D67" s="20"/>
      <c r="E67" s="20"/>
      <c r="F67" s="20"/>
      <c r="G67" s="11" t="str">
        <f aca="false">IF(OR(D67="",E67=""),"",IF(E67+10-IF(F67="",10,F67)&lt;=1,D67,ROUND(D67*(1+(E67+10-IF(F67="",10,F67))/30),1)))</f>
        <v/>
      </c>
      <c r="H67" s="20"/>
      <c r="I67" s="20"/>
      <c r="J67" s="11" t="str">
        <f aca="false">IF(OR(C67="",G67=""),"",IF(_xlfn.MAXIFS($G$13:G66,$C$13:C66,C67)=0,"",_xlfn.MAXIFS($G$13:G66,$C$13:C66,C67)))</f>
        <v/>
      </c>
      <c r="K67" s="11" t="str">
        <f aca="false">IF(OR(G67="",J67=""),"",IF(G67&lt;0.95*J67,"Below trend","OK"))</f>
        <v/>
      </c>
    </row>
    <row r="68" customFormat="false" ht="15" hidden="false" customHeight="false" outlineLevel="0" collapsed="false">
      <c r="A68" s="51"/>
      <c r="B68" s="11" t="str">
        <f aca="false">IF(A68="","",INT((A68-'Start here'!$C$5)/7)+1)</f>
        <v/>
      </c>
      <c r="C68" s="20"/>
      <c r="D68" s="20"/>
      <c r="E68" s="20"/>
      <c r="F68" s="20"/>
      <c r="G68" s="11" t="str">
        <f aca="false">IF(OR(D68="",E68=""),"",IF(E68+10-IF(F68="",10,F68)&lt;=1,D68,ROUND(D68*(1+(E68+10-IF(F68="",10,F68))/30),1)))</f>
        <v/>
      </c>
      <c r="H68" s="20"/>
      <c r="I68" s="20"/>
      <c r="J68" s="11" t="str">
        <f aca="false">IF(OR(C68="",G68=""),"",IF(_xlfn.MAXIFS($G$13:G67,$C$13:C67,C68)=0,"",_xlfn.MAXIFS($G$13:G67,$C$13:C67,C68)))</f>
        <v/>
      </c>
      <c r="K68" s="11" t="str">
        <f aca="false">IF(OR(G68="",J68=""),"",IF(G68&lt;0.95*J68,"Below trend","OK"))</f>
        <v/>
      </c>
    </row>
    <row r="69" customFormat="false" ht="15" hidden="false" customHeight="false" outlineLevel="0" collapsed="false">
      <c r="A69" s="51"/>
      <c r="B69" s="11" t="str">
        <f aca="false">IF(A69="","",INT((A69-'Start here'!$C$5)/7)+1)</f>
        <v/>
      </c>
      <c r="C69" s="20"/>
      <c r="D69" s="20"/>
      <c r="E69" s="20"/>
      <c r="F69" s="20"/>
      <c r="G69" s="11" t="str">
        <f aca="false">IF(OR(D69="",E69=""),"",IF(E69+10-IF(F69="",10,F69)&lt;=1,D69,ROUND(D69*(1+(E69+10-IF(F69="",10,F69))/30),1)))</f>
        <v/>
      </c>
      <c r="H69" s="20"/>
      <c r="I69" s="20"/>
      <c r="J69" s="11" t="str">
        <f aca="false">IF(OR(C69="",G69=""),"",IF(_xlfn.MAXIFS($G$13:G68,$C$13:C68,C69)=0,"",_xlfn.MAXIFS($G$13:G68,$C$13:C68,C69)))</f>
        <v/>
      </c>
      <c r="K69" s="11" t="str">
        <f aca="false">IF(OR(G69="",J69=""),"",IF(G69&lt;0.95*J69,"Below trend","OK"))</f>
        <v/>
      </c>
    </row>
    <row r="70" customFormat="false" ht="15" hidden="false" customHeight="false" outlineLevel="0" collapsed="false">
      <c r="A70" s="51"/>
      <c r="B70" s="11" t="str">
        <f aca="false">IF(A70="","",INT((A70-'Start here'!$C$5)/7)+1)</f>
        <v/>
      </c>
      <c r="C70" s="20"/>
      <c r="D70" s="20"/>
      <c r="E70" s="20"/>
      <c r="F70" s="20"/>
      <c r="G70" s="11" t="str">
        <f aca="false">IF(OR(D70="",E70=""),"",IF(E70+10-IF(F70="",10,F70)&lt;=1,D70,ROUND(D70*(1+(E70+10-IF(F70="",10,F70))/30),1)))</f>
        <v/>
      </c>
      <c r="H70" s="20"/>
      <c r="I70" s="20"/>
      <c r="J70" s="11" t="str">
        <f aca="false">IF(OR(C70="",G70=""),"",IF(_xlfn.MAXIFS($G$13:G69,$C$13:C69,C70)=0,"",_xlfn.MAXIFS($G$13:G69,$C$13:C69,C70)))</f>
        <v/>
      </c>
      <c r="K70" s="11" t="str">
        <f aca="false">IF(OR(G70="",J70=""),"",IF(G70&lt;0.95*J70,"Below trend","OK"))</f>
        <v/>
      </c>
    </row>
    <row r="71" customFormat="false" ht="15" hidden="false" customHeight="false" outlineLevel="0" collapsed="false">
      <c r="A71" s="51"/>
      <c r="B71" s="11" t="str">
        <f aca="false">IF(A71="","",INT((A71-'Start here'!$C$5)/7)+1)</f>
        <v/>
      </c>
      <c r="C71" s="20"/>
      <c r="D71" s="20"/>
      <c r="E71" s="20"/>
      <c r="F71" s="20"/>
      <c r="G71" s="11" t="str">
        <f aca="false">IF(OR(D71="",E71=""),"",IF(E71+10-IF(F71="",10,F71)&lt;=1,D71,ROUND(D71*(1+(E71+10-IF(F71="",10,F71))/30),1)))</f>
        <v/>
      </c>
      <c r="H71" s="20"/>
      <c r="I71" s="20"/>
      <c r="J71" s="11" t="str">
        <f aca="false">IF(OR(C71="",G71=""),"",IF(_xlfn.MAXIFS($G$13:G70,$C$13:C70,C71)=0,"",_xlfn.MAXIFS($G$13:G70,$C$13:C70,C71)))</f>
        <v/>
      </c>
      <c r="K71" s="11" t="str">
        <f aca="false">IF(OR(G71="",J71=""),"",IF(G71&lt;0.95*J71,"Below trend","OK"))</f>
        <v/>
      </c>
    </row>
    <row r="72" customFormat="false" ht="15" hidden="false" customHeight="false" outlineLevel="0" collapsed="false">
      <c r="A72" s="51"/>
      <c r="B72" s="11" t="str">
        <f aca="false">IF(A72="","",INT((A72-'Start here'!$C$5)/7)+1)</f>
        <v/>
      </c>
      <c r="C72" s="20"/>
      <c r="D72" s="20"/>
      <c r="E72" s="20"/>
      <c r="F72" s="20"/>
      <c r="G72" s="11" t="str">
        <f aca="false">IF(OR(D72="",E72=""),"",IF(E72+10-IF(F72="",10,F72)&lt;=1,D72,ROUND(D72*(1+(E72+10-IF(F72="",10,F72))/30),1)))</f>
        <v/>
      </c>
      <c r="H72" s="20"/>
      <c r="I72" s="20"/>
      <c r="J72" s="11" t="str">
        <f aca="false">IF(OR(C72="",G72=""),"",IF(_xlfn.MAXIFS($G$13:G71,$C$13:C71,C72)=0,"",_xlfn.MAXIFS($G$13:G71,$C$13:C71,C72)))</f>
        <v/>
      </c>
      <c r="K72" s="11" t="str">
        <f aca="false">IF(OR(G72="",J72=""),"",IF(G72&lt;0.95*J72,"Below trend","OK"))</f>
        <v/>
      </c>
    </row>
    <row r="73" customFormat="false" ht="15" hidden="false" customHeight="false" outlineLevel="0" collapsed="false">
      <c r="A73" s="51"/>
      <c r="B73" s="11" t="str">
        <f aca="false">IF(A73="","",INT((A73-'Start here'!$C$5)/7)+1)</f>
        <v/>
      </c>
      <c r="C73" s="20"/>
      <c r="D73" s="20"/>
      <c r="E73" s="20"/>
      <c r="F73" s="20"/>
      <c r="G73" s="11" t="str">
        <f aca="false">IF(OR(D73="",E73=""),"",IF(E73+10-IF(F73="",10,F73)&lt;=1,D73,ROUND(D73*(1+(E73+10-IF(F73="",10,F73))/30),1)))</f>
        <v/>
      </c>
      <c r="H73" s="20"/>
      <c r="I73" s="20"/>
      <c r="J73" s="11" t="str">
        <f aca="false">IF(OR(C73="",G73=""),"",IF(_xlfn.MAXIFS($G$13:G72,$C$13:C72,C73)=0,"",_xlfn.MAXIFS($G$13:G72,$C$13:C72,C73)))</f>
        <v/>
      </c>
      <c r="K73" s="11" t="str">
        <f aca="false">IF(OR(G73="",J73=""),"",IF(G73&lt;0.95*J73,"Below trend","OK"))</f>
        <v/>
      </c>
    </row>
    <row r="74" customFormat="false" ht="15" hidden="false" customHeight="false" outlineLevel="0" collapsed="false">
      <c r="A74" s="51"/>
      <c r="B74" s="11" t="str">
        <f aca="false">IF(A74="","",INT((A74-'Start here'!$C$5)/7)+1)</f>
        <v/>
      </c>
      <c r="C74" s="20"/>
      <c r="D74" s="20"/>
      <c r="E74" s="20"/>
      <c r="F74" s="20"/>
      <c r="G74" s="11" t="str">
        <f aca="false">IF(OR(D74="",E74=""),"",IF(E74+10-IF(F74="",10,F74)&lt;=1,D74,ROUND(D74*(1+(E74+10-IF(F74="",10,F74))/30),1)))</f>
        <v/>
      </c>
      <c r="H74" s="20"/>
      <c r="I74" s="20"/>
      <c r="J74" s="11" t="str">
        <f aca="false">IF(OR(C74="",G74=""),"",IF(_xlfn.MAXIFS($G$13:G73,$C$13:C73,C74)=0,"",_xlfn.MAXIFS($G$13:G73,$C$13:C73,C74)))</f>
        <v/>
      </c>
      <c r="K74" s="11" t="str">
        <f aca="false">IF(OR(G74="",J74=""),"",IF(G74&lt;0.95*J74,"Below trend","OK"))</f>
        <v/>
      </c>
    </row>
    <row r="75" customFormat="false" ht="15" hidden="false" customHeight="false" outlineLevel="0" collapsed="false">
      <c r="A75" s="51"/>
      <c r="B75" s="11" t="str">
        <f aca="false">IF(A75="","",INT((A75-'Start here'!$C$5)/7)+1)</f>
        <v/>
      </c>
      <c r="C75" s="20"/>
      <c r="D75" s="20"/>
      <c r="E75" s="20"/>
      <c r="F75" s="20"/>
      <c r="G75" s="11" t="str">
        <f aca="false">IF(OR(D75="",E75=""),"",IF(E75+10-IF(F75="",10,F75)&lt;=1,D75,ROUND(D75*(1+(E75+10-IF(F75="",10,F75))/30),1)))</f>
        <v/>
      </c>
      <c r="H75" s="20"/>
      <c r="I75" s="20"/>
      <c r="J75" s="11" t="str">
        <f aca="false">IF(OR(C75="",G75=""),"",IF(_xlfn.MAXIFS($G$13:G74,$C$13:C74,C75)=0,"",_xlfn.MAXIFS($G$13:G74,$C$13:C74,C75)))</f>
        <v/>
      </c>
      <c r="K75" s="11" t="str">
        <f aca="false">IF(OR(G75="",J75=""),"",IF(G75&lt;0.95*J75,"Below trend","OK"))</f>
        <v/>
      </c>
    </row>
    <row r="76" customFormat="false" ht="15" hidden="false" customHeight="false" outlineLevel="0" collapsed="false">
      <c r="A76" s="51"/>
      <c r="B76" s="11" t="str">
        <f aca="false">IF(A76="","",INT((A76-'Start here'!$C$5)/7)+1)</f>
        <v/>
      </c>
      <c r="C76" s="20"/>
      <c r="D76" s="20"/>
      <c r="E76" s="20"/>
      <c r="F76" s="20"/>
      <c r="G76" s="11" t="str">
        <f aca="false">IF(OR(D76="",E76=""),"",IF(E76+10-IF(F76="",10,F76)&lt;=1,D76,ROUND(D76*(1+(E76+10-IF(F76="",10,F76))/30),1)))</f>
        <v/>
      </c>
      <c r="H76" s="20"/>
      <c r="I76" s="20"/>
      <c r="J76" s="11" t="str">
        <f aca="false">IF(OR(C76="",G76=""),"",IF(_xlfn.MAXIFS($G$13:G75,$C$13:C75,C76)=0,"",_xlfn.MAXIFS($G$13:G75,$C$13:C75,C76)))</f>
        <v/>
      </c>
      <c r="K76" s="11" t="str">
        <f aca="false">IF(OR(G76="",J76=""),"",IF(G76&lt;0.95*J76,"Below trend","OK"))</f>
        <v/>
      </c>
    </row>
    <row r="77" customFormat="false" ht="15" hidden="false" customHeight="false" outlineLevel="0" collapsed="false">
      <c r="A77" s="51"/>
      <c r="B77" s="11" t="str">
        <f aca="false">IF(A77="","",INT((A77-'Start here'!$C$5)/7)+1)</f>
        <v/>
      </c>
      <c r="C77" s="20"/>
      <c r="D77" s="20"/>
      <c r="E77" s="20"/>
      <c r="F77" s="20"/>
      <c r="G77" s="11" t="str">
        <f aca="false">IF(OR(D77="",E77=""),"",IF(E77+10-IF(F77="",10,F77)&lt;=1,D77,ROUND(D77*(1+(E77+10-IF(F77="",10,F77))/30),1)))</f>
        <v/>
      </c>
      <c r="H77" s="20"/>
      <c r="I77" s="20"/>
      <c r="J77" s="11" t="str">
        <f aca="false">IF(OR(C77="",G77=""),"",IF(_xlfn.MAXIFS($G$13:G76,$C$13:C76,C77)=0,"",_xlfn.MAXIFS($G$13:G76,$C$13:C76,C77)))</f>
        <v/>
      </c>
      <c r="K77" s="11" t="str">
        <f aca="false">IF(OR(G77="",J77=""),"",IF(G77&lt;0.95*J77,"Below trend","OK"))</f>
        <v/>
      </c>
    </row>
    <row r="78" customFormat="false" ht="15" hidden="false" customHeight="false" outlineLevel="0" collapsed="false">
      <c r="A78" s="51"/>
      <c r="B78" s="11" t="str">
        <f aca="false">IF(A78="","",INT((A78-'Start here'!$C$5)/7)+1)</f>
        <v/>
      </c>
      <c r="C78" s="20"/>
      <c r="D78" s="20"/>
      <c r="E78" s="20"/>
      <c r="F78" s="20"/>
      <c r="G78" s="11" t="str">
        <f aca="false">IF(OR(D78="",E78=""),"",IF(E78+10-IF(F78="",10,F78)&lt;=1,D78,ROUND(D78*(1+(E78+10-IF(F78="",10,F78))/30),1)))</f>
        <v/>
      </c>
      <c r="H78" s="20"/>
      <c r="I78" s="20"/>
      <c r="J78" s="11" t="str">
        <f aca="false">IF(OR(C78="",G78=""),"",IF(_xlfn.MAXIFS($G$13:G77,$C$13:C77,C78)=0,"",_xlfn.MAXIFS($G$13:G77,$C$13:C77,C78)))</f>
        <v/>
      </c>
      <c r="K78" s="11" t="str">
        <f aca="false">IF(OR(G78="",J78=""),"",IF(G78&lt;0.95*J78,"Below trend","OK"))</f>
        <v/>
      </c>
    </row>
    <row r="79" customFormat="false" ht="15" hidden="false" customHeight="false" outlineLevel="0" collapsed="false">
      <c r="A79" s="51"/>
      <c r="B79" s="11" t="str">
        <f aca="false">IF(A79="","",INT((A79-'Start here'!$C$5)/7)+1)</f>
        <v/>
      </c>
      <c r="C79" s="20"/>
      <c r="D79" s="20"/>
      <c r="E79" s="20"/>
      <c r="F79" s="20"/>
      <c r="G79" s="11" t="str">
        <f aca="false">IF(OR(D79="",E79=""),"",IF(E79+10-IF(F79="",10,F79)&lt;=1,D79,ROUND(D79*(1+(E79+10-IF(F79="",10,F79))/30),1)))</f>
        <v/>
      </c>
      <c r="H79" s="20"/>
      <c r="I79" s="20"/>
      <c r="J79" s="11" t="str">
        <f aca="false">IF(OR(C79="",G79=""),"",IF(_xlfn.MAXIFS($G$13:G78,$C$13:C78,C79)=0,"",_xlfn.MAXIFS($G$13:G78,$C$13:C78,C79)))</f>
        <v/>
      </c>
      <c r="K79" s="11" t="str">
        <f aca="false">IF(OR(G79="",J79=""),"",IF(G79&lt;0.95*J79,"Below trend","OK"))</f>
        <v/>
      </c>
    </row>
    <row r="80" customFormat="false" ht="15" hidden="false" customHeight="false" outlineLevel="0" collapsed="false">
      <c r="A80" s="51"/>
      <c r="B80" s="11" t="str">
        <f aca="false">IF(A80="","",INT((A80-'Start here'!$C$5)/7)+1)</f>
        <v/>
      </c>
      <c r="C80" s="20"/>
      <c r="D80" s="20"/>
      <c r="E80" s="20"/>
      <c r="F80" s="20"/>
      <c r="G80" s="11" t="str">
        <f aca="false">IF(OR(D80="",E80=""),"",IF(E80+10-IF(F80="",10,F80)&lt;=1,D80,ROUND(D80*(1+(E80+10-IF(F80="",10,F80))/30),1)))</f>
        <v/>
      </c>
      <c r="H80" s="20"/>
      <c r="I80" s="20"/>
      <c r="J80" s="11" t="str">
        <f aca="false">IF(OR(C80="",G80=""),"",IF(_xlfn.MAXIFS($G$13:G79,$C$13:C79,C80)=0,"",_xlfn.MAXIFS($G$13:G79,$C$13:C79,C80)))</f>
        <v/>
      </c>
      <c r="K80" s="11" t="str">
        <f aca="false">IF(OR(G80="",J80=""),"",IF(G80&lt;0.95*J80,"Below trend","OK"))</f>
        <v/>
      </c>
    </row>
    <row r="81" customFormat="false" ht="15" hidden="false" customHeight="false" outlineLevel="0" collapsed="false">
      <c r="A81" s="51"/>
      <c r="B81" s="11" t="str">
        <f aca="false">IF(A81="","",INT((A81-'Start here'!$C$5)/7)+1)</f>
        <v/>
      </c>
      <c r="C81" s="20"/>
      <c r="D81" s="20"/>
      <c r="E81" s="20"/>
      <c r="F81" s="20"/>
      <c r="G81" s="11" t="str">
        <f aca="false">IF(OR(D81="",E81=""),"",IF(E81+10-IF(F81="",10,F81)&lt;=1,D81,ROUND(D81*(1+(E81+10-IF(F81="",10,F81))/30),1)))</f>
        <v/>
      </c>
      <c r="H81" s="20"/>
      <c r="I81" s="20"/>
      <c r="J81" s="11" t="str">
        <f aca="false">IF(OR(C81="",G81=""),"",IF(_xlfn.MAXIFS($G$13:G80,$C$13:C80,C81)=0,"",_xlfn.MAXIFS($G$13:G80,$C$13:C80,C81)))</f>
        <v/>
      </c>
      <c r="K81" s="11" t="str">
        <f aca="false">IF(OR(G81="",J81=""),"",IF(G81&lt;0.95*J81,"Below trend","OK"))</f>
        <v/>
      </c>
    </row>
    <row r="82" customFormat="false" ht="15" hidden="false" customHeight="false" outlineLevel="0" collapsed="false">
      <c r="A82" s="51"/>
      <c r="B82" s="11" t="str">
        <f aca="false">IF(A82="","",INT((A82-'Start here'!$C$5)/7)+1)</f>
        <v/>
      </c>
      <c r="C82" s="20"/>
      <c r="D82" s="20"/>
      <c r="E82" s="20"/>
      <c r="F82" s="20"/>
      <c r="G82" s="11" t="str">
        <f aca="false">IF(OR(D82="",E82=""),"",IF(E82+10-IF(F82="",10,F82)&lt;=1,D82,ROUND(D82*(1+(E82+10-IF(F82="",10,F82))/30),1)))</f>
        <v/>
      </c>
      <c r="H82" s="20"/>
      <c r="I82" s="20"/>
      <c r="J82" s="11" t="str">
        <f aca="false">IF(OR(C82="",G82=""),"",IF(_xlfn.MAXIFS($G$13:G81,$C$13:C81,C82)=0,"",_xlfn.MAXIFS($G$13:G81,$C$13:C81,C82)))</f>
        <v/>
      </c>
      <c r="K82" s="11" t="str">
        <f aca="false">IF(OR(G82="",J82=""),"",IF(G82&lt;0.95*J82,"Below trend","OK"))</f>
        <v/>
      </c>
    </row>
    <row r="83" customFormat="false" ht="15" hidden="false" customHeight="false" outlineLevel="0" collapsed="false">
      <c r="A83" s="51"/>
      <c r="B83" s="11" t="str">
        <f aca="false">IF(A83="","",INT((A83-'Start here'!$C$5)/7)+1)</f>
        <v/>
      </c>
      <c r="C83" s="20"/>
      <c r="D83" s="20"/>
      <c r="E83" s="20"/>
      <c r="F83" s="20"/>
      <c r="G83" s="11" t="str">
        <f aca="false">IF(OR(D83="",E83=""),"",IF(E83+10-IF(F83="",10,F83)&lt;=1,D83,ROUND(D83*(1+(E83+10-IF(F83="",10,F83))/30),1)))</f>
        <v/>
      </c>
      <c r="H83" s="20"/>
      <c r="I83" s="20"/>
      <c r="J83" s="11" t="str">
        <f aca="false">IF(OR(C83="",G83=""),"",IF(_xlfn.MAXIFS($G$13:G82,$C$13:C82,C83)=0,"",_xlfn.MAXIFS($G$13:G82,$C$13:C82,C83)))</f>
        <v/>
      </c>
      <c r="K83" s="11" t="str">
        <f aca="false">IF(OR(G83="",J83=""),"",IF(G83&lt;0.95*J83,"Below trend","OK"))</f>
        <v/>
      </c>
    </row>
    <row r="84" customFormat="false" ht="15" hidden="false" customHeight="false" outlineLevel="0" collapsed="false">
      <c r="A84" s="51"/>
      <c r="B84" s="11" t="str">
        <f aca="false">IF(A84="","",INT((A84-'Start here'!$C$5)/7)+1)</f>
        <v/>
      </c>
      <c r="C84" s="20"/>
      <c r="D84" s="20"/>
      <c r="E84" s="20"/>
      <c r="F84" s="20"/>
      <c r="G84" s="11" t="str">
        <f aca="false">IF(OR(D84="",E84=""),"",IF(E84+10-IF(F84="",10,F84)&lt;=1,D84,ROUND(D84*(1+(E84+10-IF(F84="",10,F84))/30),1)))</f>
        <v/>
      </c>
      <c r="H84" s="20"/>
      <c r="I84" s="20"/>
      <c r="J84" s="11" t="str">
        <f aca="false">IF(OR(C84="",G84=""),"",IF(_xlfn.MAXIFS($G$13:G83,$C$13:C83,C84)=0,"",_xlfn.MAXIFS($G$13:G83,$C$13:C83,C84)))</f>
        <v/>
      </c>
      <c r="K84" s="11" t="str">
        <f aca="false">IF(OR(G84="",J84=""),"",IF(G84&lt;0.95*J84,"Below trend","OK"))</f>
        <v/>
      </c>
    </row>
    <row r="85" customFormat="false" ht="15" hidden="false" customHeight="false" outlineLevel="0" collapsed="false">
      <c r="A85" s="51"/>
      <c r="B85" s="11" t="str">
        <f aca="false">IF(A85="","",INT((A85-'Start here'!$C$5)/7)+1)</f>
        <v/>
      </c>
      <c r="C85" s="20"/>
      <c r="D85" s="20"/>
      <c r="E85" s="20"/>
      <c r="F85" s="20"/>
      <c r="G85" s="11" t="str">
        <f aca="false">IF(OR(D85="",E85=""),"",IF(E85+10-IF(F85="",10,F85)&lt;=1,D85,ROUND(D85*(1+(E85+10-IF(F85="",10,F85))/30),1)))</f>
        <v/>
      </c>
      <c r="H85" s="20"/>
      <c r="I85" s="20"/>
      <c r="J85" s="11" t="str">
        <f aca="false">IF(OR(C85="",G85=""),"",IF(_xlfn.MAXIFS($G$13:G84,$C$13:C84,C85)=0,"",_xlfn.MAXIFS($G$13:G84,$C$13:C84,C85)))</f>
        <v/>
      </c>
      <c r="K85" s="11" t="str">
        <f aca="false">IF(OR(G85="",J85=""),"",IF(G85&lt;0.95*J85,"Below trend","OK"))</f>
        <v/>
      </c>
    </row>
    <row r="86" customFormat="false" ht="15" hidden="false" customHeight="false" outlineLevel="0" collapsed="false">
      <c r="A86" s="51"/>
      <c r="B86" s="11" t="str">
        <f aca="false">IF(A86="","",INT((A86-'Start here'!$C$5)/7)+1)</f>
        <v/>
      </c>
      <c r="C86" s="20"/>
      <c r="D86" s="20"/>
      <c r="E86" s="20"/>
      <c r="F86" s="20"/>
      <c r="G86" s="11" t="str">
        <f aca="false">IF(OR(D86="",E86=""),"",IF(E86+10-IF(F86="",10,F86)&lt;=1,D86,ROUND(D86*(1+(E86+10-IF(F86="",10,F86))/30),1)))</f>
        <v/>
      </c>
      <c r="H86" s="20"/>
      <c r="I86" s="20"/>
      <c r="J86" s="11" t="str">
        <f aca="false">IF(OR(C86="",G86=""),"",IF(_xlfn.MAXIFS($G$13:G85,$C$13:C85,C86)=0,"",_xlfn.MAXIFS($G$13:G85,$C$13:C85,C86)))</f>
        <v/>
      </c>
      <c r="K86" s="11" t="str">
        <f aca="false">IF(OR(G86="",J86=""),"",IF(G86&lt;0.95*J86,"Below trend","OK"))</f>
        <v/>
      </c>
    </row>
    <row r="87" customFormat="false" ht="15" hidden="false" customHeight="false" outlineLevel="0" collapsed="false">
      <c r="A87" s="51"/>
      <c r="B87" s="11" t="str">
        <f aca="false">IF(A87="","",INT((A87-'Start here'!$C$5)/7)+1)</f>
        <v/>
      </c>
      <c r="C87" s="20"/>
      <c r="D87" s="20"/>
      <c r="E87" s="20"/>
      <c r="F87" s="20"/>
      <c r="G87" s="11" t="str">
        <f aca="false">IF(OR(D87="",E87=""),"",IF(E87+10-IF(F87="",10,F87)&lt;=1,D87,ROUND(D87*(1+(E87+10-IF(F87="",10,F87))/30),1)))</f>
        <v/>
      </c>
      <c r="H87" s="20"/>
      <c r="I87" s="20"/>
      <c r="J87" s="11" t="str">
        <f aca="false">IF(OR(C87="",G87=""),"",IF(_xlfn.MAXIFS($G$13:G86,$C$13:C86,C87)=0,"",_xlfn.MAXIFS($G$13:G86,$C$13:C86,C87)))</f>
        <v/>
      </c>
      <c r="K87" s="11" t="str">
        <f aca="false">IF(OR(G87="",J87=""),"",IF(G87&lt;0.95*J87,"Below trend","OK"))</f>
        <v/>
      </c>
    </row>
    <row r="88" customFormat="false" ht="15" hidden="false" customHeight="false" outlineLevel="0" collapsed="false">
      <c r="A88" s="51"/>
      <c r="B88" s="11" t="str">
        <f aca="false">IF(A88="","",INT((A88-'Start here'!$C$5)/7)+1)</f>
        <v/>
      </c>
      <c r="C88" s="20"/>
      <c r="D88" s="20"/>
      <c r="E88" s="20"/>
      <c r="F88" s="20"/>
      <c r="G88" s="11" t="str">
        <f aca="false">IF(OR(D88="",E88=""),"",IF(E88+10-IF(F88="",10,F88)&lt;=1,D88,ROUND(D88*(1+(E88+10-IF(F88="",10,F88))/30),1)))</f>
        <v/>
      </c>
      <c r="H88" s="20"/>
      <c r="I88" s="20"/>
      <c r="J88" s="11" t="str">
        <f aca="false">IF(OR(C88="",G88=""),"",IF(_xlfn.MAXIFS($G$13:G87,$C$13:C87,C88)=0,"",_xlfn.MAXIFS($G$13:G87,$C$13:C87,C88)))</f>
        <v/>
      </c>
      <c r="K88" s="11" t="str">
        <f aca="false">IF(OR(G88="",J88=""),"",IF(G88&lt;0.95*J88,"Below trend","OK"))</f>
        <v/>
      </c>
    </row>
    <row r="89" customFormat="false" ht="15" hidden="false" customHeight="false" outlineLevel="0" collapsed="false">
      <c r="A89" s="51"/>
      <c r="B89" s="11" t="str">
        <f aca="false">IF(A89="","",INT((A89-'Start here'!$C$5)/7)+1)</f>
        <v/>
      </c>
      <c r="C89" s="20"/>
      <c r="D89" s="20"/>
      <c r="E89" s="20"/>
      <c r="F89" s="20"/>
      <c r="G89" s="11" t="str">
        <f aca="false">IF(OR(D89="",E89=""),"",IF(E89+10-IF(F89="",10,F89)&lt;=1,D89,ROUND(D89*(1+(E89+10-IF(F89="",10,F89))/30),1)))</f>
        <v/>
      </c>
      <c r="H89" s="20"/>
      <c r="I89" s="20"/>
      <c r="J89" s="11" t="str">
        <f aca="false">IF(OR(C89="",G89=""),"",IF(_xlfn.MAXIFS($G$13:G88,$C$13:C88,C89)=0,"",_xlfn.MAXIFS($G$13:G88,$C$13:C88,C89)))</f>
        <v/>
      </c>
      <c r="K89" s="11" t="str">
        <f aca="false">IF(OR(G89="",J89=""),"",IF(G89&lt;0.95*J89,"Below trend","OK"))</f>
        <v/>
      </c>
    </row>
    <row r="90" customFormat="false" ht="15" hidden="false" customHeight="false" outlineLevel="0" collapsed="false">
      <c r="A90" s="51"/>
      <c r="B90" s="11" t="str">
        <f aca="false">IF(A90="","",INT((A90-'Start here'!$C$5)/7)+1)</f>
        <v/>
      </c>
      <c r="C90" s="20"/>
      <c r="D90" s="20"/>
      <c r="E90" s="20"/>
      <c r="F90" s="20"/>
      <c r="G90" s="11" t="str">
        <f aca="false">IF(OR(D90="",E90=""),"",IF(E90+10-IF(F90="",10,F90)&lt;=1,D90,ROUND(D90*(1+(E90+10-IF(F90="",10,F90))/30),1)))</f>
        <v/>
      </c>
      <c r="H90" s="20"/>
      <c r="I90" s="20"/>
      <c r="J90" s="11" t="str">
        <f aca="false">IF(OR(C90="",G90=""),"",IF(_xlfn.MAXIFS($G$13:G89,$C$13:C89,C90)=0,"",_xlfn.MAXIFS($G$13:G89,$C$13:C89,C90)))</f>
        <v/>
      </c>
      <c r="K90" s="11" t="str">
        <f aca="false">IF(OR(G90="",J90=""),"",IF(G90&lt;0.95*J90,"Below trend","OK"))</f>
        <v/>
      </c>
    </row>
    <row r="91" customFormat="false" ht="15" hidden="false" customHeight="false" outlineLevel="0" collapsed="false">
      <c r="A91" s="51"/>
      <c r="B91" s="11" t="str">
        <f aca="false">IF(A91="","",INT((A91-'Start here'!$C$5)/7)+1)</f>
        <v/>
      </c>
      <c r="C91" s="20"/>
      <c r="D91" s="20"/>
      <c r="E91" s="20"/>
      <c r="F91" s="20"/>
      <c r="G91" s="11" t="str">
        <f aca="false">IF(OR(D91="",E91=""),"",IF(E91+10-IF(F91="",10,F91)&lt;=1,D91,ROUND(D91*(1+(E91+10-IF(F91="",10,F91))/30),1)))</f>
        <v/>
      </c>
      <c r="H91" s="20"/>
      <c r="I91" s="20"/>
      <c r="J91" s="11" t="str">
        <f aca="false">IF(OR(C91="",G91=""),"",IF(_xlfn.MAXIFS($G$13:G90,$C$13:C90,C91)=0,"",_xlfn.MAXIFS($G$13:G90,$C$13:C90,C91)))</f>
        <v/>
      </c>
      <c r="K91" s="11" t="str">
        <f aca="false">IF(OR(G91="",J91=""),"",IF(G91&lt;0.95*J91,"Below trend","OK"))</f>
        <v/>
      </c>
    </row>
    <row r="92" customFormat="false" ht="15" hidden="false" customHeight="false" outlineLevel="0" collapsed="false">
      <c r="A92" s="51"/>
      <c r="B92" s="11" t="str">
        <f aca="false">IF(A92="","",INT((A92-'Start here'!$C$5)/7)+1)</f>
        <v/>
      </c>
      <c r="C92" s="20"/>
      <c r="D92" s="20"/>
      <c r="E92" s="20"/>
      <c r="F92" s="20"/>
      <c r="G92" s="11" t="str">
        <f aca="false">IF(OR(D92="",E92=""),"",IF(E92+10-IF(F92="",10,F92)&lt;=1,D92,ROUND(D92*(1+(E92+10-IF(F92="",10,F92))/30),1)))</f>
        <v/>
      </c>
      <c r="H92" s="20"/>
      <c r="I92" s="20"/>
      <c r="J92" s="11" t="str">
        <f aca="false">IF(OR(C92="",G92=""),"",IF(_xlfn.MAXIFS($G$13:G91,$C$13:C91,C92)=0,"",_xlfn.MAXIFS($G$13:G91,$C$13:C91,C92)))</f>
        <v/>
      </c>
      <c r="K92" s="11" t="str">
        <f aca="false">IF(OR(G92="",J92=""),"",IF(G92&lt;0.95*J92,"Below trend","OK"))</f>
        <v/>
      </c>
    </row>
    <row r="93" customFormat="false" ht="15" hidden="false" customHeight="false" outlineLevel="0" collapsed="false">
      <c r="A93" s="51"/>
      <c r="B93" s="11" t="str">
        <f aca="false">IF(A93="","",INT((A93-'Start here'!$C$5)/7)+1)</f>
        <v/>
      </c>
      <c r="C93" s="20"/>
      <c r="D93" s="20"/>
      <c r="E93" s="20"/>
      <c r="F93" s="20"/>
      <c r="G93" s="11" t="str">
        <f aca="false">IF(OR(D93="",E93=""),"",IF(E93+10-IF(F93="",10,F93)&lt;=1,D93,ROUND(D93*(1+(E93+10-IF(F93="",10,F93))/30),1)))</f>
        <v/>
      </c>
      <c r="H93" s="20"/>
      <c r="I93" s="20"/>
      <c r="J93" s="11" t="str">
        <f aca="false">IF(OR(C93="",G93=""),"",IF(_xlfn.MAXIFS($G$13:G92,$C$13:C92,C93)=0,"",_xlfn.MAXIFS($G$13:G92,$C$13:C92,C93)))</f>
        <v/>
      </c>
      <c r="K93" s="11" t="str">
        <f aca="false">IF(OR(G93="",J93=""),"",IF(G93&lt;0.95*J93,"Below trend","OK"))</f>
        <v/>
      </c>
    </row>
    <row r="94" customFormat="false" ht="15" hidden="false" customHeight="false" outlineLevel="0" collapsed="false">
      <c r="A94" s="51"/>
      <c r="B94" s="11" t="str">
        <f aca="false">IF(A94="","",INT((A94-'Start here'!$C$5)/7)+1)</f>
        <v/>
      </c>
      <c r="C94" s="20"/>
      <c r="D94" s="20"/>
      <c r="E94" s="20"/>
      <c r="F94" s="20"/>
      <c r="G94" s="11" t="str">
        <f aca="false">IF(OR(D94="",E94=""),"",IF(E94+10-IF(F94="",10,F94)&lt;=1,D94,ROUND(D94*(1+(E94+10-IF(F94="",10,F94))/30),1)))</f>
        <v/>
      </c>
      <c r="H94" s="20"/>
      <c r="I94" s="20"/>
      <c r="J94" s="11" t="str">
        <f aca="false">IF(OR(C94="",G94=""),"",IF(_xlfn.MAXIFS($G$13:G93,$C$13:C93,C94)=0,"",_xlfn.MAXIFS($G$13:G93,$C$13:C93,C94)))</f>
        <v/>
      </c>
      <c r="K94" s="11" t="str">
        <f aca="false">IF(OR(G94="",J94=""),"",IF(G94&lt;0.95*J94,"Below trend","OK"))</f>
        <v/>
      </c>
    </row>
    <row r="95" customFormat="false" ht="15" hidden="false" customHeight="false" outlineLevel="0" collapsed="false">
      <c r="A95" s="51"/>
      <c r="B95" s="11" t="str">
        <f aca="false">IF(A95="","",INT((A95-'Start here'!$C$5)/7)+1)</f>
        <v/>
      </c>
      <c r="C95" s="20"/>
      <c r="D95" s="20"/>
      <c r="E95" s="20"/>
      <c r="F95" s="20"/>
      <c r="G95" s="11" t="str">
        <f aca="false">IF(OR(D95="",E95=""),"",IF(E95+10-IF(F95="",10,F95)&lt;=1,D95,ROUND(D95*(1+(E95+10-IF(F95="",10,F95))/30),1)))</f>
        <v/>
      </c>
      <c r="H95" s="20"/>
      <c r="I95" s="20"/>
      <c r="J95" s="11" t="str">
        <f aca="false">IF(OR(C95="",G95=""),"",IF(_xlfn.MAXIFS($G$13:G94,$C$13:C94,C95)=0,"",_xlfn.MAXIFS($G$13:G94,$C$13:C94,C95)))</f>
        <v/>
      </c>
      <c r="K95" s="11" t="str">
        <f aca="false">IF(OR(G95="",J95=""),"",IF(G95&lt;0.95*J95,"Below trend","OK"))</f>
        <v/>
      </c>
    </row>
    <row r="96" customFormat="false" ht="15" hidden="false" customHeight="false" outlineLevel="0" collapsed="false">
      <c r="A96" s="51"/>
      <c r="B96" s="11" t="str">
        <f aca="false">IF(A96="","",INT((A96-'Start here'!$C$5)/7)+1)</f>
        <v/>
      </c>
      <c r="C96" s="20"/>
      <c r="D96" s="20"/>
      <c r="E96" s="20"/>
      <c r="F96" s="20"/>
      <c r="G96" s="11" t="str">
        <f aca="false">IF(OR(D96="",E96=""),"",IF(E96+10-IF(F96="",10,F96)&lt;=1,D96,ROUND(D96*(1+(E96+10-IF(F96="",10,F96))/30),1)))</f>
        <v/>
      </c>
      <c r="H96" s="20"/>
      <c r="I96" s="20"/>
      <c r="J96" s="11" t="str">
        <f aca="false">IF(OR(C96="",G96=""),"",IF(_xlfn.MAXIFS($G$13:G95,$C$13:C95,C96)=0,"",_xlfn.MAXIFS($G$13:G95,$C$13:C95,C96)))</f>
        <v/>
      </c>
      <c r="K96" s="11" t="str">
        <f aca="false">IF(OR(G96="",J96=""),"",IF(G96&lt;0.95*J96,"Below trend","OK"))</f>
        <v/>
      </c>
    </row>
    <row r="97" customFormat="false" ht="15" hidden="false" customHeight="false" outlineLevel="0" collapsed="false">
      <c r="A97" s="51"/>
      <c r="B97" s="11" t="str">
        <f aca="false">IF(A97="","",INT((A97-'Start here'!$C$5)/7)+1)</f>
        <v/>
      </c>
      <c r="C97" s="20"/>
      <c r="D97" s="20"/>
      <c r="E97" s="20"/>
      <c r="F97" s="20"/>
      <c r="G97" s="11" t="str">
        <f aca="false">IF(OR(D97="",E97=""),"",IF(E97+10-IF(F97="",10,F97)&lt;=1,D97,ROUND(D97*(1+(E97+10-IF(F97="",10,F97))/30),1)))</f>
        <v/>
      </c>
      <c r="H97" s="20"/>
      <c r="I97" s="20"/>
      <c r="J97" s="11" t="str">
        <f aca="false">IF(OR(C97="",G97=""),"",IF(_xlfn.MAXIFS($G$13:G96,$C$13:C96,C97)=0,"",_xlfn.MAXIFS($G$13:G96,$C$13:C96,C97)))</f>
        <v/>
      </c>
      <c r="K97" s="11" t="str">
        <f aca="false">IF(OR(G97="",J97=""),"",IF(G97&lt;0.95*J97,"Below trend","OK"))</f>
        <v/>
      </c>
    </row>
    <row r="98" customFormat="false" ht="15" hidden="false" customHeight="false" outlineLevel="0" collapsed="false">
      <c r="A98" s="51"/>
      <c r="B98" s="11" t="str">
        <f aca="false">IF(A98="","",INT((A98-'Start here'!$C$5)/7)+1)</f>
        <v/>
      </c>
      <c r="C98" s="20"/>
      <c r="D98" s="20"/>
      <c r="E98" s="20"/>
      <c r="F98" s="20"/>
      <c r="G98" s="11" t="str">
        <f aca="false">IF(OR(D98="",E98=""),"",IF(E98+10-IF(F98="",10,F98)&lt;=1,D98,ROUND(D98*(1+(E98+10-IF(F98="",10,F98))/30),1)))</f>
        <v/>
      </c>
      <c r="H98" s="20"/>
      <c r="I98" s="20"/>
      <c r="J98" s="11" t="str">
        <f aca="false">IF(OR(C98="",G98=""),"",IF(_xlfn.MAXIFS($G$13:G97,$C$13:C97,C98)=0,"",_xlfn.MAXIFS($G$13:G97,$C$13:C97,C98)))</f>
        <v/>
      </c>
      <c r="K98" s="11" t="str">
        <f aca="false">IF(OR(G98="",J98=""),"",IF(G98&lt;0.95*J98,"Below trend","OK"))</f>
        <v/>
      </c>
    </row>
    <row r="99" customFormat="false" ht="15" hidden="false" customHeight="false" outlineLevel="0" collapsed="false">
      <c r="A99" s="51"/>
      <c r="B99" s="11" t="str">
        <f aca="false">IF(A99="","",INT((A99-'Start here'!$C$5)/7)+1)</f>
        <v/>
      </c>
      <c r="C99" s="20"/>
      <c r="D99" s="20"/>
      <c r="E99" s="20"/>
      <c r="F99" s="20"/>
      <c r="G99" s="11" t="str">
        <f aca="false">IF(OR(D99="",E99=""),"",IF(E99+10-IF(F99="",10,F99)&lt;=1,D99,ROUND(D99*(1+(E99+10-IF(F99="",10,F99))/30),1)))</f>
        <v/>
      </c>
      <c r="H99" s="20"/>
      <c r="I99" s="20"/>
      <c r="J99" s="11" t="str">
        <f aca="false">IF(OR(C99="",G99=""),"",IF(_xlfn.MAXIFS($G$13:G98,$C$13:C98,C99)=0,"",_xlfn.MAXIFS($G$13:G98,$C$13:C98,C99)))</f>
        <v/>
      </c>
      <c r="K99" s="11" t="str">
        <f aca="false">IF(OR(G99="",J99=""),"",IF(G99&lt;0.95*J99,"Below trend","OK"))</f>
        <v/>
      </c>
    </row>
    <row r="100" customFormat="false" ht="15" hidden="false" customHeight="false" outlineLevel="0" collapsed="false">
      <c r="A100" s="51"/>
      <c r="B100" s="11" t="str">
        <f aca="false">IF(A100="","",INT((A100-'Start here'!$C$5)/7)+1)</f>
        <v/>
      </c>
      <c r="C100" s="20"/>
      <c r="D100" s="20"/>
      <c r="E100" s="20"/>
      <c r="F100" s="20"/>
      <c r="G100" s="11" t="str">
        <f aca="false">IF(OR(D100="",E100=""),"",IF(E100+10-IF(F100="",10,F100)&lt;=1,D100,ROUND(D100*(1+(E100+10-IF(F100="",10,F100))/30),1)))</f>
        <v/>
      </c>
      <c r="H100" s="20"/>
      <c r="I100" s="20"/>
      <c r="J100" s="11" t="str">
        <f aca="false">IF(OR(C100="",G100=""),"",IF(_xlfn.MAXIFS($G$13:G99,$C$13:C99,C100)=0,"",_xlfn.MAXIFS($G$13:G99,$C$13:C99,C100)))</f>
        <v/>
      </c>
      <c r="K100" s="11" t="str">
        <f aca="false">IF(OR(G100="",J100=""),"",IF(G100&lt;0.95*J100,"Below trend","OK"))</f>
        <v/>
      </c>
    </row>
    <row r="101" customFormat="false" ht="15" hidden="false" customHeight="false" outlineLevel="0" collapsed="false">
      <c r="A101" s="51"/>
      <c r="B101" s="11" t="str">
        <f aca="false">IF(A101="","",INT((A101-'Start here'!$C$5)/7)+1)</f>
        <v/>
      </c>
      <c r="C101" s="20"/>
      <c r="D101" s="20"/>
      <c r="E101" s="20"/>
      <c r="F101" s="20"/>
      <c r="G101" s="11" t="str">
        <f aca="false">IF(OR(D101="",E101=""),"",IF(E101+10-IF(F101="",10,F101)&lt;=1,D101,ROUND(D101*(1+(E101+10-IF(F101="",10,F101))/30),1)))</f>
        <v/>
      </c>
      <c r="H101" s="20"/>
      <c r="I101" s="20"/>
      <c r="J101" s="11" t="str">
        <f aca="false">IF(OR(C101="",G101=""),"",IF(_xlfn.MAXIFS($G$13:G100,$C$13:C100,C101)=0,"",_xlfn.MAXIFS($G$13:G100,$C$13:C100,C101)))</f>
        <v/>
      </c>
      <c r="K101" s="11" t="str">
        <f aca="false">IF(OR(G101="",J101=""),"",IF(G101&lt;0.95*J101,"Below trend","OK"))</f>
        <v/>
      </c>
    </row>
    <row r="102" customFormat="false" ht="15" hidden="false" customHeight="false" outlineLevel="0" collapsed="false">
      <c r="A102" s="51"/>
      <c r="B102" s="11" t="str">
        <f aca="false">IF(A102="","",INT((A102-'Start here'!$C$5)/7)+1)</f>
        <v/>
      </c>
      <c r="C102" s="20"/>
      <c r="D102" s="20"/>
      <c r="E102" s="20"/>
      <c r="F102" s="20"/>
      <c r="G102" s="11" t="str">
        <f aca="false">IF(OR(D102="",E102=""),"",IF(E102+10-IF(F102="",10,F102)&lt;=1,D102,ROUND(D102*(1+(E102+10-IF(F102="",10,F102))/30),1)))</f>
        <v/>
      </c>
      <c r="H102" s="20"/>
      <c r="I102" s="20"/>
      <c r="J102" s="11" t="str">
        <f aca="false">IF(OR(C102="",G102=""),"",IF(_xlfn.MAXIFS($G$13:G101,$C$13:C101,C102)=0,"",_xlfn.MAXIFS($G$13:G101,$C$13:C101,C102)))</f>
        <v/>
      </c>
      <c r="K102" s="11" t="str">
        <f aca="false">IF(OR(G102="",J102=""),"",IF(G102&lt;0.95*J102,"Below trend","OK"))</f>
        <v/>
      </c>
    </row>
    <row r="103" customFormat="false" ht="15" hidden="false" customHeight="false" outlineLevel="0" collapsed="false">
      <c r="A103" s="51"/>
      <c r="B103" s="11" t="str">
        <f aca="false">IF(A103="","",INT((A103-'Start here'!$C$5)/7)+1)</f>
        <v/>
      </c>
      <c r="C103" s="20"/>
      <c r="D103" s="20"/>
      <c r="E103" s="20"/>
      <c r="F103" s="20"/>
      <c r="G103" s="11" t="str">
        <f aca="false">IF(OR(D103="",E103=""),"",IF(E103+10-IF(F103="",10,F103)&lt;=1,D103,ROUND(D103*(1+(E103+10-IF(F103="",10,F103))/30),1)))</f>
        <v/>
      </c>
      <c r="H103" s="20"/>
      <c r="I103" s="20"/>
      <c r="J103" s="11" t="str">
        <f aca="false">IF(OR(C103="",G103=""),"",IF(_xlfn.MAXIFS($G$13:G102,$C$13:C102,C103)=0,"",_xlfn.MAXIFS($G$13:G102,$C$13:C102,C103)))</f>
        <v/>
      </c>
      <c r="K103" s="11" t="str">
        <f aca="false">IF(OR(G103="",J103=""),"",IF(G103&lt;0.95*J103,"Below trend","OK"))</f>
        <v/>
      </c>
    </row>
    <row r="104" customFormat="false" ht="15" hidden="false" customHeight="false" outlineLevel="0" collapsed="false">
      <c r="A104" s="51"/>
      <c r="B104" s="11" t="str">
        <f aca="false">IF(A104="","",INT((A104-'Start here'!$C$5)/7)+1)</f>
        <v/>
      </c>
      <c r="C104" s="20"/>
      <c r="D104" s="20"/>
      <c r="E104" s="20"/>
      <c r="F104" s="20"/>
      <c r="G104" s="11" t="str">
        <f aca="false">IF(OR(D104="",E104=""),"",IF(E104+10-IF(F104="",10,F104)&lt;=1,D104,ROUND(D104*(1+(E104+10-IF(F104="",10,F104))/30),1)))</f>
        <v/>
      </c>
      <c r="H104" s="20"/>
      <c r="I104" s="20"/>
      <c r="J104" s="11" t="str">
        <f aca="false">IF(OR(C104="",G104=""),"",IF(_xlfn.MAXIFS($G$13:G103,$C$13:C103,C104)=0,"",_xlfn.MAXIFS($G$13:G103,$C$13:C103,C104)))</f>
        <v/>
      </c>
      <c r="K104" s="11" t="str">
        <f aca="false">IF(OR(G104="",J104=""),"",IF(G104&lt;0.95*J104,"Below trend","OK"))</f>
        <v/>
      </c>
    </row>
    <row r="105" customFormat="false" ht="15" hidden="false" customHeight="false" outlineLevel="0" collapsed="false">
      <c r="A105" s="51"/>
      <c r="B105" s="11" t="str">
        <f aca="false">IF(A105="","",INT((A105-'Start here'!$C$5)/7)+1)</f>
        <v/>
      </c>
      <c r="C105" s="20"/>
      <c r="D105" s="20"/>
      <c r="E105" s="20"/>
      <c r="F105" s="20"/>
      <c r="G105" s="11" t="str">
        <f aca="false">IF(OR(D105="",E105=""),"",IF(E105+10-IF(F105="",10,F105)&lt;=1,D105,ROUND(D105*(1+(E105+10-IF(F105="",10,F105))/30),1)))</f>
        <v/>
      </c>
      <c r="H105" s="20"/>
      <c r="I105" s="20"/>
      <c r="J105" s="11" t="str">
        <f aca="false">IF(OR(C105="",G105=""),"",IF(_xlfn.MAXIFS($G$13:G104,$C$13:C104,C105)=0,"",_xlfn.MAXIFS($G$13:G104,$C$13:C104,C105)))</f>
        <v/>
      </c>
      <c r="K105" s="11" t="str">
        <f aca="false">IF(OR(G105="",J105=""),"",IF(G105&lt;0.95*J105,"Below trend","OK"))</f>
        <v/>
      </c>
    </row>
    <row r="106" customFormat="false" ht="15" hidden="false" customHeight="false" outlineLevel="0" collapsed="false">
      <c r="A106" s="51"/>
      <c r="B106" s="11" t="str">
        <f aca="false">IF(A106="","",INT((A106-'Start here'!$C$5)/7)+1)</f>
        <v/>
      </c>
      <c r="C106" s="20"/>
      <c r="D106" s="20"/>
      <c r="E106" s="20"/>
      <c r="F106" s="20"/>
      <c r="G106" s="11" t="str">
        <f aca="false">IF(OR(D106="",E106=""),"",IF(E106+10-IF(F106="",10,F106)&lt;=1,D106,ROUND(D106*(1+(E106+10-IF(F106="",10,F106))/30),1)))</f>
        <v/>
      </c>
      <c r="H106" s="20"/>
      <c r="I106" s="20"/>
      <c r="J106" s="11" t="str">
        <f aca="false">IF(OR(C106="",G106=""),"",IF(_xlfn.MAXIFS($G$13:G105,$C$13:C105,C106)=0,"",_xlfn.MAXIFS($G$13:G105,$C$13:C105,C106)))</f>
        <v/>
      </c>
      <c r="K106" s="11" t="str">
        <f aca="false">IF(OR(G106="",J106=""),"",IF(G106&lt;0.95*J106,"Below trend","OK"))</f>
        <v/>
      </c>
    </row>
    <row r="107" customFormat="false" ht="15" hidden="false" customHeight="false" outlineLevel="0" collapsed="false">
      <c r="A107" s="51"/>
      <c r="B107" s="11" t="str">
        <f aca="false">IF(A107="","",INT((A107-'Start here'!$C$5)/7)+1)</f>
        <v/>
      </c>
      <c r="C107" s="20"/>
      <c r="D107" s="20"/>
      <c r="E107" s="20"/>
      <c r="F107" s="20"/>
      <c r="G107" s="11" t="str">
        <f aca="false">IF(OR(D107="",E107=""),"",IF(E107+10-IF(F107="",10,F107)&lt;=1,D107,ROUND(D107*(1+(E107+10-IF(F107="",10,F107))/30),1)))</f>
        <v/>
      </c>
      <c r="H107" s="20"/>
      <c r="I107" s="20"/>
      <c r="J107" s="11" t="str">
        <f aca="false">IF(OR(C107="",G107=""),"",IF(_xlfn.MAXIFS($G$13:G106,$C$13:C106,C107)=0,"",_xlfn.MAXIFS($G$13:G106,$C$13:C106,C107)))</f>
        <v/>
      </c>
      <c r="K107" s="11" t="str">
        <f aca="false">IF(OR(G107="",J107=""),"",IF(G107&lt;0.95*J107,"Below trend","OK"))</f>
        <v/>
      </c>
    </row>
    <row r="108" customFormat="false" ht="15" hidden="false" customHeight="false" outlineLevel="0" collapsed="false">
      <c r="A108" s="51"/>
      <c r="B108" s="11" t="str">
        <f aca="false">IF(A108="","",INT((A108-'Start here'!$C$5)/7)+1)</f>
        <v/>
      </c>
      <c r="C108" s="20"/>
      <c r="D108" s="20"/>
      <c r="E108" s="20"/>
      <c r="F108" s="20"/>
      <c r="G108" s="11" t="str">
        <f aca="false">IF(OR(D108="",E108=""),"",IF(E108+10-IF(F108="",10,F108)&lt;=1,D108,ROUND(D108*(1+(E108+10-IF(F108="",10,F108))/30),1)))</f>
        <v/>
      </c>
      <c r="H108" s="20"/>
      <c r="I108" s="20"/>
      <c r="J108" s="11" t="str">
        <f aca="false">IF(OR(C108="",G108=""),"",IF(_xlfn.MAXIFS($G$13:G107,$C$13:C107,C108)=0,"",_xlfn.MAXIFS($G$13:G107,$C$13:C107,C108)))</f>
        <v/>
      </c>
      <c r="K108" s="11" t="str">
        <f aca="false">IF(OR(G108="",J108=""),"",IF(G108&lt;0.95*J108,"Below trend","OK"))</f>
        <v/>
      </c>
    </row>
    <row r="109" customFormat="false" ht="15" hidden="false" customHeight="false" outlineLevel="0" collapsed="false">
      <c r="A109" s="51"/>
      <c r="B109" s="11" t="str">
        <f aca="false">IF(A109="","",INT((A109-'Start here'!$C$5)/7)+1)</f>
        <v/>
      </c>
      <c r="C109" s="20"/>
      <c r="D109" s="20"/>
      <c r="E109" s="20"/>
      <c r="F109" s="20"/>
      <c r="G109" s="11" t="str">
        <f aca="false">IF(OR(D109="",E109=""),"",IF(E109+10-IF(F109="",10,F109)&lt;=1,D109,ROUND(D109*(1+(E109+10-IF(F109="",10,F109))/30),1)))</f>
        <v/>
      </c>
      <c r="H109" s="20"/>
      <c r="I109" s="20"/>
      <c r="J109" s="11" t="str">
        <f aca="false">IF(OR(C109="",G109=""),"",IF(_xlfn.MAXIFS($G$13:G108,$C$13:C108,C109)=0,"",_xlfn.MAXIFS($G$13:G108,$C$13:C108,C109)))</f>
        <v/>
      </c>
      <c r="K109" s="11" t="str">
        <f aca="false">IF(OR(G109="",J109=""),"",IF(G109&lt;0.95*J109,"Below trend","OK"))</f>
        <v/>
      </c>
    </row>
    <row r="110" customFormat="false" ht="15" hidden="false" customHeight="false" outlineLevel="0" collapsed="false">
      <c r="A110" s="51"/>
      <c r="B110" s="11" t="str">
        <f aca="false">IF(A110="","",INT((A110-'Start here'!$C$5)/7)+1)</f>
        <v/>
      </c>
      <c r="C110" s="20"/>
      <c r="D110" s="20"/>
      <c r="E110" s="20"/>
      <c r="F110" s="20"/>
      <c r="G110" s="11" t="str">
        <f aca="false">IF(OR(D110="",E110=""),"",IF(E110+10-IF(F110="",10,F110)&lt;=1,D110,ROUND(D110*(1+(E110+10-IF(F110="",10,F110))/30),1)))</f>
        <v/>
      </c>
      <c r="H110" s="20"/>
      <c r="I110" s="20"/>
      <c r="J110" s="11" t="str">
        <f aca="false">IF(OR(C110="",G110=""),"",IF(_xlfn.MAXIFS($G$13:G109,$C$13:C109,C110)=0,"",_xlfn.MAXIFS($G$13:G109,$C$13:C109,C110)))</f>
        <v/>
      </c>
      <c r="K110" s="11" t="str">
        <f aca="false">IF(OR(G110="",J110=""),"",IF(G110&lt;0.95*J110,"Below trend","OK"))</f>
        <v/>
      </c>
    </row>
    <row r="111" customFormat="false" ht="15" hidden="false" customHeight="false" outlineLevel="0" collapsed="false">
      <c r="A111" s="51"/>
      <c r="B111" s="11" t="str">
        <f aca="false">IF(A111="","",INT((A111-'Start here'!$C$5)/7)+1)</f>
        <v/>
      </c>
      <c r="C111" s="20"/>
      <c r="D111" s="20"/>
      <c r="E111" s="20"/>
      <c r="F111" s="20"/>
      <c r="G111" s="11" t="str">
        <f aca="false">IF(OR(D111="",E111=""),"",IF(E111+10-IF(F111="",10,F111)&lt;=1,D111,ROUND(D111*(1+(E111+10-IF(F111="",10,F111))/30),1)))</f>
        <v/>
      </c>
      <c r="H111" s="20"/>
      <c r="I111" s="20"/>
      <c r="J111" s="11" t="str">
        <f aca="false">IF(OR(C111="",G111=""),"",IF(_xlfn.MAXIFS($G$13:G110,$C$13:C110,C111)=0,"",_xlfn.MAXIFS($G$13:G110,$C$13:C110,C111)))</f>
        <v/>
      </c>
      <c r="K111" s="11" t="str">
        <f aca="false">IF(OR(G111="",J111=""),"",IF(G111&lt;0.95*J111,"Below trend","OK"))</f>
        <v/>
      </c>
    </row>
    <row r="112" customFormat="false" ht="15" hidden="false" customHeight="false" outlineLevel="0" collapsed="false">
      <c r="A112" s="51"/>
      <c r="B112" s="11" t="str">
        <f aca="false">IF(A112="","",INT((A112-'Start here'!$C$5)/7)+1)</f>
        <v/>
      </c>
      <c r="C112" s="20"/>
      <c r="D112" s="20"/>
      <c r="E112" s="20"/>
      <c r="F112" s="20"/>
      <c r="G112" s="11" t="str">
        <f aca="false">IF(OR(D112="",E112=""),"",IF(E112+10-IF(F112="",10,F112)&lt;=1,D112,ROUND(D112*(1+(E112+10-IF(F112="",10,F112))/30),1)))</f>
        <v/>
      </c>
      <c r="H112" s="20"/>
      <c r="I112" s="20"/>
      <c r="J112" s="11" t="str">
        <f aca="false">IF(OR(C112="",G112=""),"",IF(_xlfn.MAXIFS($G$13:G111,$C$13:C111,C112)=0,"",_xlfn.MAXIFS($G$13:G111,$C$13:C111,C112)))</f>
        <v/>
      </c>
      <c r="K112" s="11" t="str">
        <f aca="false">IF(OR(G112="",J112=""),"",IF(G112&lt;0.95*J112,"Below trend","OK"))</f>
        <v/>
      </c>
    </row>
    <row r="113" customFormat="false" ht="15" hidden="false" customHeight="false" outlineLevel="0" collapsed="false">
      <c r="A113" s="51"/>
      <c r="B113" s="11" t="str">
        <f aca="false">IF(A113="","",INT((A113-'Start here'!$C$5)/7)+1)</f>
        <v/>
      </c>
      <c r="C113" s="20"/>
      <c r="D113" s="20"/>
      <c r="E113" s="20"/>
      <c r="F113" s="20"/>
      <c r="G113" s="11" t="str">
        <f aca="false">IF(OR(D113="",E113=""),"",IF(E113+10-IF(F113="",10,F113)&lt;=1,D113,ROUND(D113*(1+(E113+10-IF(F113="",10,F113))/30),1)))</f>
        <v/>
      </c>
      <c r="H113" s="20"/>
      <c r="I113" s="20"/>
      <c r="J113" s="11" t="str">
        <f aca="false">IF(OR(C113="",G113=""),"",IF(_xlfn.MAXIFS($G$13:G112,$C$13:C112,C113)=0,"",_xlfn.MAXIFS($G$13:G112,$C$13:C112,C113)))</f>
        <v/>
      </c>
      <c r="K113" s="11" t="str">
        <f aca="false">IF(OR(G113="",J113=""),"",IF(G113&lt;0.95*J113,"Below trend","OK"))</f>
        <v/>
      </c>
    </row>
    <row r="114" customFormat="false" ht="15" hidden="false" customHeight="false" outlineLevel="0" collapsed="false">
      <c r="A114" s="51"/>
      <c r="B114" s="11" t="str">
        <f aca="false">IF(A114="","",INT((A114-'Start here'!$C$5)/7)+1)</f>
        <v/>
      </c>
      <c r="C114" s="20"/>
      <c r="D114" s="20"/>
      <c r="E114" s="20"/>
      <c r="F114" s="20"/>
      <c r="G114" s="11" t="str">
        <f aca="false">IF(OR(D114="",E114=""),"",IF(E114+10-IF(F114="",10,F114)&lt;=1,D114,ROUND(D114*(1+(E114+10-IF(F114="",10,F114))/30),1)))</f>
        <v/>
      </c>
      <c r="H114" s="20"/>
      <c r="I114" s="20"/>
      <c r="J114" s="11" t="str">
        <f aca="false">IF(OR(C114="",G114=""),"",IF(_xlfn.MAXIFS($G$13:G113,$C$13:C113,C114)=0,"",_xlfn.MAXIFS($G$13:G113,$C$13:C113,C114)))</f>
        <v/>
      </c>
      <c r="K114" s="11" t="str">
        <f aca="false">IF(OR(G114="",J114=""),"",IF(G114&lt;0.95*J114,"Below trend","OK"))</f>
        <v/>
      </c>
    </row>
    <row r="115" customFormat="false" ht="15" hidden="false" customHeight="false" outlineLevel="0" collapsed="false">
      <c r="A115" s="51"/>
      <c r="B115" s="11" t="str">
        <f aca="false">IF(A115="","",INT((A115-'Start here'!$C$5)/7)+1)</f>
        <v/>
      </c>
      <c r="C115" s="20"/>
      <c r="D115" s="20"/>
      <c r="E115" s="20"/>
      <c r="F115" s="20"/>
      <c r="G115" s="11" t="str">
        <f aca="false">IF(OR(D115="",E115=""),"",IF(E115+10-IF(F115="",10,F115)&lt;=1,D115,ROUND(D115*(1+(E115+10-IF(F115="",10,F115))/30),1)))</f>
        <v/>
      </c>
      <c r="H115" s="20"/>
      <c r="I115" s="20"/>
      <c r="J115" s="11" t="str">
        <f aca="false">IF(OR(C115="",G115=""),"",IF(_xlfn.MAXIFS($G$13:G114,$C$13:C114,C115)=0,"",_xlfn.MAXIFS($G$13:G114,$C$13:C114,C115)))</f>
        <v/>
      </c>
      <c r="K115" s="11" t="str">
        <f aca="false">IF(OR(G115="",J115=""),"",IF(G115&lt;0.95*J115,"Below trend","OK"))</f>
        <v/>
      </c>
    </row>
    <row r="116" customFormat="false" ht="15" hidden="false" customHeight="false" outlineLevel="0" collapsed="false">
      <c r="A116" s="51"/>
      <c r="B116" s="11" t="str">
        <f aca="false">IF(A116="","",INT((A116-'Start here'!$C$5)/7)+1)</f>
        <v/>
      </c>
      <c r="C116" s="20"/>
      <c r="D116" s="20"/>
      <c r="E116" s="20"/>
      <c r="F116" s="20"/>
      <c r="G116" s="11" t="str">
        <f aca="false">IF(OR(D116="",E116=""),"",IF(E116+10-IF(F116="",10,F116)&lt;=1,D116,ROUND(D116*(1+(E116+10-IF(F116="",10,F116))/30),1)))</f>
        <v/>
      </c>
      <c r="H116" s="20"/>
      <c r="I116" s="20"/>
      <c r="J116" s="11" t="str">
        <f aca="false">IF(OR(C116="",G116=""),"",IF(_xlfn.MAXIFS($G$13:G115,$C$13:C115,C116)=0,"",_xlfn.MAXIFS($G$13:G115,$C$13:C115,C116)))</f>
        <v/>
      </c>
      <c r="K116" s="11" t="str">
        <f aca="false">IF(OR(G116="",J116=""),"",IF(G116&lt;0.95*J116,"Below trend","OK"))</f>
        <v/>
      </c>
    </row>
    <row r="117" customFormat="false" ht="15" hidden="false" customHeight="false" outlineLevel="0" collapsed="false">
      <c r="A117" s="51"/>
      <c r="B117" s="11" t="str">
        <f aca="false">IF(A117="","",INT((A117-'Start here'!$C$5)/7)+1)</f>
        <v/>
      </c>
      <c r="C117" s="20"/>
      <c r="D117" s="20"/>
      <c r="E117" s="20"/>
      <c r="F117" s="20"/>
      <c r="G117" s="11" t="str">
        <f aca="false">IF(OR(D117="",E117=""),"",IF(E117+10-IF(F117="",10,F117)&lt;=1,D117,ROUND(D117*(1+(E117+10-IF(F117="",10,F117))/30),1)))</f>
        <v/>
      </c>
      <c r="H117" s="20"/>
      <c r="I117" s="20"/>
      <c r="J117" s="11" t="str">
        <f aca="false">IF(OR(C117="",G117=""),"",IF(_xlfn.MAXIFS($G$13:G116,$C$13:C116,C117)=0,"",_xlfn.MAXIFS($G$13:G116,$C$13:C116,C117)))</f>
        <v/>
      </c>
      <c r="K117" s="11" t="str">
        <f aca="false">IF(OR(G117="",J117=""),"",IF(G117&lt;0.95*J117,"Below trend","OK"))</f>
        <v/>
      </c>
    </row>
    <row r="118" customFormat="false" ht="15" hidden="false" customHeight="false" outlineLevel="0" collapsed="false">
      <c r="A118" s="51"/>
      <c r="B118" s="11" t="str">
        <f aca="false">IF(A118="","",INT((A118-'Start here'!$C$5)/7)+1)</f>
        <v/>
      </c>
      <c r="C118" s="20"/>
      <c r="D118" s="20"/>
      <c r="E118" s="20"/>
      <c r="F118" s="20"/>
      <c r="G118" s="11" t="str">
        <f aca="false">IF(OR(D118="",E118=""),"",IF(E118+10-IF(F118="",10,F118)&lt;=1,D118,ROUND(D118*(1+(E118+10-IF(F118="",10,F118))/30),1)))</f>
        <v/>
      </c>
      <c r="H118" s="20"/>
      <c r="I118" s="20"/>
      <c r="J118" s="11" t="str">
        <f aca="false">IF(OR(C118="",G118=""),"",IF(_xlfn.MAXIFS($G$13:G117,$C$13:C117,C118)=0,"",_xlfn.MAXIFS($G$13:G117,$C$13:C117,C118)))</f>
        <v/>
      </c>
      <c r="K118" s="11" t="str">
        <f aca="false">IF(OR(G118="",J118=""),"",IF(G118&lt;0.95*J118,"Below trend","OK"))</f>
        <v/>
      </c>
    </row>
    <row r="119" customFormat="false" ht="15" hidden="false" customHeight="false" outlineLevel="0" collapsed="false">
      <c r="A119" s="51"/>
      <c r="B119" s="11" t="str">
        <f aca="false">IF(A119="","",INT((A119-'Start here'!$C$5)/7)+1)</f>
        <v/>
      </c>
      <c r="C119" s="20"/>
      <c r="D119" s="20"/>
      <c r="E119" s="20"/>
      <c r="F119" s="20"/>
      <c r="G119" s="11" t="str">
        <f aca="false">IF(OR(D119="",E119=""),"",IF(E119+10-IF(F119="",10,F119)&lt;=1,D119,ROUND(D119*(1+(E119+10-IF(F119="",10,F119))/30),1)))</f>
        <v/>
      </c>
      <c r="H119" s="20"/>
      <c r="I119" s="20"/>
      <c r="J119" s="11" t="str">
        <f aca="false">IF(OR(C119="",G119=""),"",IF(_xlfn.MAXIFS($G$13:G118,$C$13:C118,C119)=0,"",_xlfn.MAXIFS($G$13:G118,$C$13:C118,C119)))</f>
        <v/>
      </c>
      <c r="K119" s="11" t="str">
        <f aca="false">IF(OR(G119="",J119=""),"",IF(G119&lt;0.95*J119,"Below trend","OK"))</f>
        <v/>
      </c>
    </row>
    <row r="120" customFormat="false" ht="15" hidden="false" customHeight="false" outlineLevel="0" collapsed="false">
      <c r="A120" s="51"/>
      <c r="B120" s="11" t="str">
        <f aca="false">IF(A120="","",INT((A120-'Start here'!$C$5)/7)+1)</f>
        <v/>
      </c>
      <c r="C120" s="20"/>
      <c r="D120" s="20"/>
      <c r="E120" s="20"/>
      <c r="F120" s="20"/>
      <c r="G120" s="11" t="str">
        <f aca="false">IF(OR(D120="",E120=""),"",IF(E120+10-IF(F120="",10,F120)&lt;=1,D120,ROUND(D120*(1+(E120+10-IF(F120="",10,F120))/30),1)))</f>
        <v/>
      </c>
      <c r="H120" s="20"/>
      <c r="I120" s="20"/>
      <c r="J120" s="11" t="str">
        <f aca="false">IF(OR(C120="",G120=""),"",IF(_xlfn.MAXIFS($G$13:G119,$C$13:C119,C120)=0,"",_xlfn.MAXIFS($G$13:G119,$C$13:C119,C120)))</f>
        <v/>
      </c>
      <c r="K120" s="11" t="str">
        <f aca="false">IF(OR(G120="",J120=""),"",IF(G120&lt;0.95*J120,"Below trend","OK"))</f>
        <v/>
      </c>
    </row>
    <row r="121" customFormat="false" ht="15" hidden="false" customHeight="false" outlineLevel="0" collapsed="false">
      <c r="A121" s="51"/>
      <c r="B121" s="11" t="str">
        <f aca="false">IF(A121="","",INT((A121-'Start here'!$C$5)/7)+1)</f>
        <v/>
      </c>
      <c r="C121" s="20"/>
      <c r="D121" s="20"/>
      <c r="E121" s="20"/>
      <c r="F121" s="20"/>
      <c r="G121" s="11" t="str">
        <f aca="false">IF(OR(D121="",E121=""),"",IF(E121+10-IF(F121="",10,F121)&lt;=1,D121,ROUND(D121*(1+(E121+10-IF(F121="",10,F121))/30),1)))</f>
        <v/>
      </c>
      <c r="H121" s="20"/>
      <c r="I121" s="20"/>
      <c r="J121" s="11" t="str">
        <f aca="false">IF(OR(C121="",G121=""),"",IF(_xlfn.MAXIFS($G$13:G120,$C$13:C120,C121)=0,"",_xlfn.MAXIFS($G$13:G120,$C$13:C120,C121)))</f>
        <v/>
      </c>
      <c r="K121" s="11" t="str">
        <f aca="false">IF(OR(G121="",J121=""),"",IF(G121&lt;0.95*J121,"Below trend","OK"))</f>
        <v/>
      </c>
    </row>
    <row r="122" customFormat="false" ht="15" hidden="false" customHeight="false" outlineLevel="0" collapsed="false">
      <c r="A122" s="51"/>
      <c r="B122" s="11" t="str">
        <f aca="false">IF(A122="","",INT((A122-'Start here'!$C$5)/7)+1)</f>
        <v/>
      </c>
      <c r="C122" s="20"/>
      <c r="D122" s="20"/>
      <c r="E122" s="20"/>
      <c r="F122" s="20"/>
      <c r="G122" s="11" t="str">
        <f aca="false">IF(OR(D122="",E122=""),"",IF(E122+10-IF(F122="",10,F122)&lt;=1,D122,ROUND(D122*(1+(E122+10-IF(F122="",10,F122))/30),1)))</f>
        <v/>
      </c>
      <c r="H122" s="20"/>
      <c r="I122" s="20"/>
      <c r="J122" s="11" t="str">
        <f aca="false">IF(OR(C122="",G122=""),"",IF(_xlfn.MAXIFS($G$13:G121,$C$13:C121,C122)=0,"",_xlfn.MAXIFS($G$13:G121,$C$13:C121,C122)))</f>
        <v/>
      </c>
      <c r="K122" s="11" t="str">
        <f aca="false">IF(OR(G122="",J122=""),"",IF(G122&lt;0.95*J122,"Below trend","OK"))</f>
        <v/>
      </c>
    </row>
    <row r="123" customFormat="false" ht="15" hidden="false" customHeight="false" outlineLevel="0" collapsed="false">
      <c r="A123" s="51"/>
      <c r="B123" s="11" t="str">
        <f aca="false">IF(A123="","",INT((A123-'Start here'!$C$5)/7)+1)</f>
        <v/>
      </c>
      <c r="C123" s="20"/>
      <c r="D123" s="20"/>
      <c r="E123" s="20"/>
      <c r="F123" s="20"/>
      <c r="G123" s="11" t="str">
        <f aca="false">IF(OR(D123="",E123=""),"",IF(E123+10-IF(F123="",10,F123)&lt;=1,D123,ROUND(D123*(1+(E123+10-IF(F123="",10,F123))/30),1)))</f>
        <v/>
      </c>
      <c r="H123" s="20"/>
      <c r="I123" s="20"/>
      <c r="J123" s="11" t="str">
        <f aca="false">IF(OR(C123="",G123=""),"",IF(_xlfn.MAXIFS($G$13:G122,$C$13:C122,C123)=0,"",_xlfn.MAXIFS($G$13:G122,$C$13:C122,C123)))</f>
        <v/>
      </c>
      <c r="K123" s="11" t="str">
        <f aca="false">IF(OR(G123="",J123=""),"",IF(G123&lt;0.95*J123,"Below trend","OK"))</f>
        <v/>
      </c>
    </row>
    <row r="124" customFormat="false" ht="15" hidden="false" customHeight="false" outlineLevel="0" collapsed="false">
      <c r="A124" s="51"/>
      <c r="B124" s="11" t="str">
        <f aca="false">IF(A124="","",INT((A124-'Start here'!$C$5)/7)+1)</f>
        <v/>
      </c>
      <c r="C124" s="20"/>
      <c r="D124" s="20"/>
      <c r="E124" s="20"/>
      <c r="F124" s="20"/>
      <c r="G124" s="11" t="str">
        <f aca="false">IF(OR(D124="",E124=""),"",IF(E124+10-IF(F124="",10,F124)&lt;=1,D124,ROUND(D124*(1+(E124+10-IF(F124="",10,F124))/30),1)))</f>
        <v/>
      </c>
      <c r="H124" s="20"/>
      <c r="I124" s="20"/>
      <c r="J124" s="11" t="str">
        <f aca="false">IF(OR(C124="",G124=""),"",IF(_xlfn.MAXIFS($G$13:G123,$C$13:C123,C124)=0,"",_xlfn.MAXIFS($G$13:G123,$C$13:C123,C124)))</f>
        <v/>
      </c>
      <c r="K124" s="11" t="str">
        <f aca="false">IF(OR(G124="",J124=""),"",IF(G124&lt;0.95*J124,"Below trend","OK"))</f>
        <v/>
      </c>
    </row>
    <row r="125" customFormat="false" ht="15" hidden="false" customHeight="false" outlineLevel="0" collapsed="false">
      <c r="A125" s="51"/>
      <c r="B125" s="11" t="str">
        <f aca="false">IF(A125="","",INT((A125-'Start here'!$C$5)/7)+1)</f>
        <v/>
      </c>
      <c r="C125" s="20"/>
      <c r="D125" s="20"/>
      <c r="E125" s="20"/>
      <c r="F125" s="20"/>
      <c r="G125" s="11" t="str">
        <f aca="false">IF(OR(D125="",E125=""),"",IF(E125+10-IF(F125="",10,F125)&lt;=1,D125,ROUND(D125*(1+(E125+10-IF(F125="",10,F125))/30),1)))</f>
        <v/>
      </c>
      <c r="H125" s="20"/>
      <c r="I125" s="20"/>
      <c r="J125" s="11" t="str">
        <f aca="false">IF(OR(C125="",G125=""),"",IF(_xlfn.MAXIFS($G$13:G124,$C$13:C124,C125)=0,"",_xlfn.MAXIFS($G$13:G124,$C$13:C124,C125)))</f>
        <v/>
      </c>
      <c r="K125" s="11" t="str">
        <f aca="false">IF(OR(G125="",J125=""),"",IF(G125&lt;0.95*J125,"Below trend","OK"))</f>
        <v/>
      </c>
    </row>
    <row r="126" customFormat="false" ht="15" hidden="false" customHeight="false" outlineLevel="0" collapsed="false">
      <c r="A126" s="51"/>
      <c r="B126" s="11" t="str">
        <f aca="false">IF(A126="","",INT((A126-'Start here'!$C$5)/7)+1)</f>
        <v/>
      </c>
      <c r="C126" s="20"/>
      <c r="D126" s="20"/>
      <c r="E126" s="20"/>
      <c r="F126" s="20"/>
      <c r="G126" s="11" t="str">
        <f aca="false">IF(OR(D126="",E126=""),"",IF(E126+10-IF(F126="",10,F126)&lt;=1,D126,ROUND(D126*(1+(E126+10-IF(F126="",10,F126))/30),1)))</f>
        <v/>
      </c>
      <c r="H126" s="20"/>
      <c r="I126" s="20"/>
      <c r="J126" s="11" t="str">
        <f aca="false">IF(OR(C126="",G126=""),"",IF(_xlfn.MAXIFS($G$13:G125,$C$13:C125,C126)=0,"",_xlfn.MAXIFS($G$13:G125,$C$13:C125,C126)))</f>
        <v/>
      </c>
      <c r="K126" s="11" t="str">
        <f aca="false">IF(OR(G126="",J126=""),"",IF(G126&lt;0.95*J126,"Below trend","OK"))</f>
        <v/>
      </c>
    </row>
    <row r="127" customFormat="false" ht="15" hidden="false" customHeight="false" outlineLevel="0" collapsed="false">
      <c r="A127" s="51"/>
      <c r="B127" s="11" t="str">
        <f aca="false">IF(A127="","",INT((A127-'Start here'!$C$5)/7)+1)</f>
        <v/>
      </c>
      <c r="C127" s="20"/>
      <c r="D127" s="20"/>
      <c r="E127" s="20"/>
      <c r="F127" s="20"/>
      <c r="G127" s="11" t="str">
        <f aca="false">IF(OR(D127="",E127=""),"",IF(E127+10-IF(F127="",10,F127)&lt;=1,D127,ROUND(D127*(1+(E127+10-IF(F127="",10,F127))/30),1)))</f>
        <v/>
      </c>
      <c r="H127" s="20"/>
      <c r="I127" s="20"/>
      <c r="J127" s="11" t="str">
        <f aca="false">IF(OR(C127="",G127=""),"",IF(_xlfn.MAXIFS($G$13:G126,$C$13:C126,C127)=0,"",_xlfn.MAXIFS($G$13:G126,$C$13:C126,C127)))</f>
        <v/>
      </c>
      <c r="K127" s="11" t="str">
        <f aca="false">IF(OR(G127="",J127=""),"",IF(G127&lt;0.95*J127,"Below trend","OK"))</f>
        <v/>
      </c>
    </row>
    <row r="128" customFormat="false" ht="15" hidden="false" customHeight="false" outlineLevel="0" collapsed="false">
      <c r="A128" s="51"/>
      <c r="B128" s="11" t="str">
        <f aca="false">IF(A128="","",INT((A128-'Start here'!$C$5)/7)+1)</f>
        <v/>
      </c>
      <c r="C128" s="20"/>
      <c r="D128" s="20"/>
      <c r="E128" s="20"/>
      <c r="F128" s="20"/>
      <c r="G128" s="11" t="str">
        <f aca="false">IF(OR(D128="",E128=""),"",IF(E128+10-IF(F128="",10,F128)&lt;=1,D128,ROUND(D128*(1+(E128+10-IF(F128="",10,F128))/30),1)))</f>
        <v/>
      </c>
      <c r="H128" s="20"/>
      <c r="I128" s="20"/>
      <c r="J128" s="11" t="str">
        <f aca="false">IF(OR(C128="",G128=""),"",IF(_xlfn.MAXIFS($G$13:G127,$C$13:C127,C128)=0,"",_xlfn.MAXIFS($G$13:G127,$C$13:C127,C128)))</f>
        <v/>
      </c>
      <c r="K128" s="11" t="str">
        <f aca="false">IF(OR(G128="",J128=""),"",IF(G128&lt;0.95*J128,"Below trend","OK"))</f>
        <v/>
      </c>
    </row>
    <row r="129" customFormat="false" ht="15" hidden="false" customHeight="false" outlineLevel="0" collapsed="false">
      <c r="A129" s="51"/>
      <c r="B129" s="11" t="str">
        <f aca="false">IF(A129="","",INT((A129-'Start here'!$C$5)/7)+1)</f>
        <v/>
      </c>
      <c r="C129" s="20"/>
      <c r="D129" s="20"/>
      <c r="E129" s="20"/>
      <c r="F129" s="20"/>
      <c r="G129" s="11" t="str">
        <f aca="false">IF(OR(D129="",E129=""),"",IF(E129+10-IF(F129="",10,F129)&lt;=1,D129,ROUND(D129*(1+(E129+10-IF(F129="",10,F129))/30),1)))</f>
        <v/>
      </c>
      <c r="H129" s="20"/>
      <c r="I129" s="20"/>
      <c r="J129" s="11" t="str">
        <f aca="false">IF(OR(C129="",G129=""),"",IF(_xlfn.MAXIFS($G$13:G128,$C$13:C128,C129)=0,"",_xlfn.MAXIFS($G$13:G128,$C$13:C128,C129)))</f>
        <v/>
      </c>
      <c r="K129" s="11" t="str">
        <f aca="false">IF(OR(G129="",J129=""),"",IF(G129&lt;0.95*J129,"Below trend","OK"))</f>
        <v/>
      </c>
    </row>
    <row r="130" customFormat="false" ht="15" hidden="false" customHeight="false" outlineLevel="0" collapsed="false">
      <c r="A130" s="51"/>
      <c r="B130" s="11" t="str">
        <f aca="false">IF(A130="","",INT((A130-'Start here'!$C$5)/7)+1)</f>
        <v/>
      </c>
      <c r="C130" s="20"/>
      <c r="D130" s="20"/>
      <c r="E130" s="20"/>
      <c r="F130" s="20"/>
      <c r="G130" s="11" t="str">
        <f aca="false">IF(OR(D130="",E130=""),"",IF(E130+10-IF(F130="",10,F130)&lt;=1,D130,ROUND(D130*(1+(E130+10-IF(F130="",10,F130))/30),1)))</f>
        <v/>
      </c>
      <c r="H130" s="20"/>
      <c r="I130" s="20"/>
      <c r="J130" s="11" t="str">
        <f aca="false">IF(OR(C130="",G130=""),"",IF(_xlfn.MAXIFS($G$13:G129,$C$13:C129,C130)=0,"",_xlfn.MAXIFS($G$13:G129,$C$13:C129,C130)))</f>
        <v/>
      </c>
      <c r="K130" s="11" t="str">
        <f aca="false">IF(OR(G130="",J130=""),"",IF(G130&lt;0.95*J130,"Below trend","OK"))</f>
        <v/>
      </c>
    </row>
    <row r="131" customFormat="false" ht="15" hidden="false" customHeight="false" outlineLevel="0" collapsed="false">
      <c r="A131" s="51"/>
      <c r="B131" s="11" t="str">
        <f aca="false">IF(A131="","",INT((A131-'Start here'!$C$5)/7)+1)</f>
        <v/>
      </c>
      <c r="C131" s="20"/>
      <c r="D131" s="20"/>
      <c r="E131" s="20"/>
      <c r="F131" s="20"/>
      <c r="G131" s="11" t="str">
        <f aca="false">IF(OR(D131="",E131=""),"",IF(E131+10-IF(F131="",10,F131)&lt;=1,D131,ROUND(D131*(1+(E131+10-IF(F131="",10,F131))/30),1)))</f>
        <v/>
      </c>
      <c r="H131" s="20"/>
      <c r="I131" s="20"/>
      <c r="J131" s="11" t="str">
        <f aca="false">IF(OR(C131="",G131=""),"",IF(_xlfn.MAXIFS($G$13:G130,$C$13:C130,C131)=0,"",_xlfn.MAXIFS($G$13:G130,$C$13:C130,C131)))</f>
        <v/>
      </c>
      <c r="K131" s="11" t="str">
        <f aca="false">IF(OR(G131="",J131=""),"",IF(G131&lt;0.95*J131,"Below trend","OK"))</f>
        <v/>
      </c>
    </row>
    <row r="132" customFormat="false" ht="15" hidden="false" customHeight="false" outlineLevel="0" collapsed="false">
      <c r="A132" s="51"/>
      <c r="B132" s="11" t="str">
        <f aca="false">IF(A132="","",INT((A132-'Start here'!$C$5)/7)+1)</f>
        <v/>
      </c>
      <c r="C132" s="20"/>
      <c r="D132" s="20"/>
      <c r="E132" s="20"/>
      <c r="F132" s="20"/>
      <c r="G132" s="11" t="str">
        <f aca="false">IF(OR(D132="",E132=""),"",IF(E132+10-IF(F132="",10,F132)&lt;=1,D132,ROUND(D132*(1+(E132+10-IF(F132="",10,F132))/30),1)))</f>
        <v/>
      </c>
      <c r="H132" s="20"/>
      <c r="I132" s="20"/>
      <c r="J132" s="11" t="str">
        <f aca="false">IF(OR(C132="",G132=""),"",IF(_xlfn.MAXIFS($G$13:G131,$C$13:C131,C132)=0,"",_xlfn.MAXIFS($G$13:G131,$C$13:C131,C132)))</f>
        <v/>
      </c>
      <c r="K132" s="11" t="str">
        <f aca="false">IF(OR(G132="",J132=""),"",IF(G132&lt;0.95*J132,"Below trend","OK"))</f>
        <v/>
      </c>
    </row>
    <row r="133" customFormat="false" ht="15" hidden="false" customHeight="false" outlineLevel="0" collapsed="false">
      <c r="A133" s="51"/>
      <c r="B133" s="11" t="str">
        <f aca="false">IF(A133="","",INT((A133-'Start here'!$C$5)/7)+1)</f>
        <v/>
      </c>
      <c r="C133" s="20"/>
      <c r="D133" s="20"/>
      <c r="E133" s="20"/>
      <c r="F133" s="20"/>
      <c r="G133" s="11" t="str">
        <f aca="false">IF(OR(D133="",E133=""),"",IF(E133+10-IF(F133="",10,F133)&lt;=1,D133,ROUND(D133*(1+(E133+10-IF(F133="",10,F133))/30),1)))</f>
        <v/>
      </c>
      <c r="H133" s="20"/>
      <c r="I133" s="20"/>
      <c r="J133" s="11" t="str">
        <f aca="false">IF(OR(C133="",G133=""),"",IF(_xlfn.MAXIFS($G$13:G132,$C$13:C132,C133)=0,"",_xlfn.MAXIFS($G$13:G132,$C$13:C132,C133)))</f>
        <v/>
      </c>
      <c r="K133" s="11" t="str">
        <f aca="false">IF(OR(G133="",J133=""),"",IF(G133&lt;0.95*J133,"Below trend","OK"))</f>
        <v/>
      </c>
    </row>
    <row r="134" customFormat="false" ht="15" hidden="false" customHeight="false" outlineLevel="0" collapsed="false">
      <c r="A134" s="51"/>
      <c r="B134" s="11" t="str">
        <f aca="false">IF(A134="","",INT((A134-'Start here'!$C$5)/7)+1)</f>
        <v/>
      </c>
      <c r="C134" s="20"/>
      <c r="D134" s="20"/>
      <c r="E134" s="20"/>
      <c r="F134" s="20"/>
      <c r="G134" s="11" t="str">
        <f aca="false">IF(OR(D134="",E134=""),"",IF(E134+10-IF(F134="",10,F134)&lt;=1,D134,ROUND(D134*(1+(E134+10-IF(F134="",10,F134))/30),1)))</f>
        <v/>
      </c>
      <c r="H134" s="20"/>
      <c r="I134" s="20"/>
      <c r="J134" s="11" t="str">
        <f aca="false">IF(OR(C134="",G134=""),"",IF(_xlfn.MAXIFS($G$13:G133,$C$13:C133,C134)=0,"",_xlfn.MAXIFS($G$13:G133,$C$13:C133,C134)))</f>
        <v/>
      </c>
      <c r="K134" s="11" t="str">
        <f aca="false">IF(OR(G134="",J134=""),"",IF(G134&lt;0.95*J134,"Below trend","OK"))</f>
        <v/>
      </c>
    </row>
    <row r="135" customFormat="false" ht="15" hidden="false" customHeight="false" outlineLevel="0" collapsed="false">
      <c r="A135" s="51"/>
      <c r="B135" s="11" t="str">
        <f aca="false">IF(A135="","",INT((A135-'Start here'!$C$5)/7)+1)</f>
        <v/>
      </c>
      <c r="C135" s="20"/>
      <c r="D135" s="20"/>
      <c r="E135" s="20"/>
      <c r="F135" s="20"/>
      <c r="G135" s="11" t="str">
        <f aca="false">IF(OR(D135="",E135=""),"",IF(E135+10-IF(F135="",10,F135)&lt;=1,D135,ROUND(D135*(1+(E135+10-IF(F135="",10,F135))/30),1)))</f>
        <v/>
      </c>
      <c r="H135" s="20"/>
      <c r="I135" s="20"/>
      <c r="J135" s="11" t="str">
        <f aca="false">IF(OR(C135="",G135=""),"",IF(_xlfn.MAXIFS($G$13:G134,$C$13:C134,C135)=0,"",_xlfn.MAXIFS($G$13:G134,$C$13:C134,C135)))</f>
        <v/>
      </c>
      <c r="K135" s="11" t="str">
        <f aca="false">IF(OR(G135="",J135=""),"",IF(G135&lt;0.95*J135,"Below trend","OK"))</f>
        <v/>
      </c>
    </row>
    <row r="136" customFormat="false" ht="15" hidden="false" customHeight="false" outlineLevel="0" collapsed="false">
      <c r="A136" s="51"/>
      <c r="B136" s="11" t="str">
        <f aca="false">IF(A136="","",INT((A136-'Start here'!$C$5)/7)+1)</f>
        <v/>
      </c>
      <c r="C136" s="20"/>
      <c r="D136" s="20"/>
      <c r="E136" s="20"/>
      <c r="F136" s="20"/>
      <c r="G136" s="11" t="str">
        <f aca="false">IF(OR(D136="",E136=""),"",IF(E136+10-IF(F136="",10,F136)&lt;=1,D136,ROUND(D136*(1+(E136+10-IF(F136="",10,F136))/30),1)))</f>
        <v/>
      </c>
      <c r="H136" s="20"/>
      <c r="I136" s="20"/>
      <c r="J136" s="11" t="str">
        <f aca="false">IF(OR(C136="",G136=""),"",IF(_xlfn.MAXIFS($G$13:G135,$C$13:C135,C136)=0,"",_xlfn.MAXIFS($G$13:G135,$C$13:C135,C136)))</f>
        <v/>
      </c>
      <c r="K136" s="11" t="str">
        <f aca="false">IF(OR(G136="",J136=""),"",IF(G136&lt;0.95*J136,"Below trend","OK"))</f>
        <v/>
      </c>
    </row>
    <row r="137" customFormat="false" ht="15" hidden="false" customHeight="false" outlineLevel="0" collapsed="false">
      <c r="A137" s="51"/>
      <c r="B137" s="11" t="str">
        <f aca="false">IF(A137="","",INT((A137-'Start here'!$C$5)/7)+1)</f>
        <v/>
      </c>
      <c r="C137" s="20"/>
      <c r="D137" s="20"/>
      <c r="E137" s="20"/>
      <c r="F137" s="20"/>
      <c r="G137" s="11" t="str">
        <f aca="false">IF(OR(D137="",E137=""),"",IF(E137+10-IF(F137="",10,F137)&lt;=1,D137,ROUND(D137*(1+(E137+10-IF(F137="",10,F137))/30),1)))</f>
        <v/>
      </c>
      <c r="H137" s="20"/>
      <c r="I137" s="20"/>
      <c r="J137" s="11" t="str">
        <f aca="false">IF(OR(C137="",G137=""),"",IF(_xlfn.MAXIFS($G$13:G136,$C$13:C136,C137)=0,"",_xlfn.MAXIFS($G$13:G136,$C$13:C136,C137)))</f>
        <v/>
      </c>
      <c r="K137" s="11" t="str">
        <f aca="false">IF(OR(G137="",J137=""),"",IF(G137&lt;0.95*J137,"Below trend","OK"))</f>
        <v/>
      </c>
    </row>
    <row r="138" customFormat="false" ht="15" hidden="false" customHeight="false" outlineLevel="0" collapsed="false">
      <c r="A138" s="51"/>
      <c r="B138" s="11" t="str">
        <f aca="false">IF(A138="","",INT((A138-'Start here'!$C$5)/7)+1)</f>
        <v/>
      </c>
      <c r="C138" s="20"/>
      <c r="D138" s="20"/>
      <c r="E138" s="20"/>
      <c r="F138" s="20"/>
      <c r="G138" s="11" t="str">
        <f aca="false">IF(OR(D138="",E138=""),"",IF(E138+10-IF(F138="",10,F138)&lt;=1,D138,ROUND(D138*(1+(E138+10-IF(F138="",10,F138))/30),1)))</f>
        <v/>
      </c>
      <c r="H138" s="20"/>
      <c r="I138" s="20"/>
      <c r="J138" s="11" t="str">
        <f aca="false">IF(OR(C138="",G138=""),"",IF(_xlfn.MAXIFS($G$13:G137,$C$13:C137,C138)=0,"",_xlfn.MAXIFS($G$13:G137,$C$13:C137,C138)))</f>
        <v/>
      </c>
      <c r="K138" s="11" t="str">
        <f aca="false">IF(OR(G138="",J138=""),"",IF(G138&lt;0.95*J138,"Below trend","OK"))</f>
        <v/>
      </c>
    </row>
    <row r="139" customFormat="false" ht="15" hidden="false" customHeight="false" outlineLevel="0" collapsed="false">
      <c r="A139" s="51"/>
      <c r="B139" s="11" t="str">
        <f aca="false">IF(A139="","",INT((A139-'Start here'!$C$5)/7)+1)</f>
        <v/>
      </c>
      <c r="C139" s="20"/>
      <c r="D139" s="20"/>
      <c r="E139" s="20"/>
      <c r="F139" s="20"/>
      <c r="G139" s="11" t="str">
        <f aca="false">IF(OR(D139="",E139=""),"",IF(E139+10-IF(F139="",10,F139)&lt;=1,D139,ROUND(D139*(1+(E139+10-IF(F139="",10,F139))/30),1)))</f>
        <v/>
      </c>
      <c r="H139" s="20"/>
      <c r="I139" s="20"/>
      <c r="J139" s="11" t="str">
        <f aca="false">IF(OR(C139="",G139=""),"",IF(_xlfn.MAXIFS($G$13:G138,$C$13:C138,C139)=0,"",_xlfn.MAXIFS($G$13:G138,$C$13:C138,C139)))</f>
        <v/>
      </c>
      <c r="K139" s="11" t="str">
        <f aca="false">IF(OR(G139="",J139=""),"",IF(G139&lt;0.95*J139,"Below trend","OK"))</f>
        <v/>
      </c>
    </row>
    <row r="140" customFormat="false" ht="15" hidden="false" customHeight="false" outlineLevel="0" collapsed="false">
      <c r="A140" s="51"/>
      <c r="B140" s="11" t="str">
        <f aca="false">IF(A140="","",INT((A140-'Start here'!$C$5)/7)+1)</f>
        <v/>
      </c>
      <c r="C140" s="20"/>
      <c r="D140" s="20"/>
      <c r="E140" s="20"/>
      <c r="F140" s="20"/>
      <c r="G140" s="11" t="str">
        <f aca="false">IF(OR(D140="",E140=""),"",IF(E140+10-IF(F140="",10,F140)&lt;=1,D140,ROUND(D140*(1+(E140+10-IF(F140="",10,F140))/30),1)))</f>
        <v/>
      </c>
      <c r="H140" s="20"/>
      <c r="I140" s="20"/>
      <c r="J140" s="11" t="str">
        <f aca="false">IF(OR(C140="",G140=""),"",IF(_xlfn.MAXIFS($G$13:G139,$C$13:C139,C140)=0,"",_xlfn.MAXIFS($G$13:G139,$C$13:C139,C140)))</f>
        <v/>
      </c>
      <c r="K140" s="11" t="str">
        <f aca="false">IF(OR(G140="",J140=""),"",IF(G140&lt;0.95*J140,"Below trend","OK"))</f>
        <v/>
      </c>
    </row>
    <row r="141" customFormat="false" ht="15" hidden="false" customHeight="false" outlineLevel="0" collapsed="false">
      <c r="A141" s="51"/>
      <c r="B141" s="11" t="str">
        <f aca="false">IF(A141="","",INT((A141-'Start here'!$C$5)/7)+1)</f>
        <v/>
      </c>
      <c r="C141" s="20"/>
      <c r="D141" s="20"/>
      <c r="E141" s="20"/>
      <c r="F141" s="20"/>
      <c r="G141" s="11" t="str">
        <f aca="false">IF(OR(D141="",E141=""),"",IF(E141+10-IF(F141="",10,F141)&lt;=1,D141,ROUND(D141*(1+(E141+10-IF(F141="",10,F141))/30),1)))</f>
        <v/>
      </c>
      <c r="H141" s="20"/>
      <c r="I141" s="20"/>
      <c r="J141" s="11" t="str">
        <f aca="false">IF(OR(C141="",G141=""),"",IF(_xlfn.MAXIFS($G$13:G140,$C$13:C140,C141)=0,"",_xlfn.MAXIFS($G$13:G140,$C$13:C140,C141)))</f>
        <v/>
      </c>
      <c r="K141" s="11" t="str">
        <f aca="false">IF(OR(G141="",J141=""),"",IF(G141&lt;0.95*J141,"Below trend","OK"))</f>
        <v/>
      </c>
    </row>
    <row r="142" customFormat="false" ht="15" hidden="false" customHeight="false" outlineLevel="0" collapsed="false">
      <c r="A142" s="51"/>
      <c r="B142" s="11" t="str">
        <f aca="false">IF(A142="","",INT((A142-'Start here'!$C$5)/7)+1)</f>
        <v/>
      </c>
      <c r="C142" s="20"/>
      <c r="D142" s="20"/>
      <c r="E142" s="20"/>
      <c r="F142" s="20"/>
      <c r="G142" s="11" t="str">
        <f aca="false">IF(OR(D142="",E142=""),"",IF(E142+10-IF(F142="",10,F142)&lt;=1,D142,ROUND(D142*(1+(E142+10-IF(F142="",10,F142))/30),1)))</f>
        <v/>
      </c>
      <c r="H142" s="20"/>
      <c r="I142" s="20"/>
      <c r="J142" s="11" t="str">
        <f aca="false">IF(OR(C142="",G142=""),"",IF(_xlfn.MAXIFS($G$13:G141,$C$13:C141,C142)=0,"",_xlfn.MAXIFS($G$13:G141,$C$13:C141,C142)))</f>
        <v/>
      </c>
      <c r="K142" s="11" t="str">
        <f aca="false">IF(OR(G142="",J142=""),"",IF(G142&lt;0.95*J142,"Below trend","OK"))</f>
        <v/>
      </c>
    </row>
    <row r="143" customFormat="false" ht="15" hidden="false" customHeight="false" outlineLevel="0" collapsed="false">
      <c r="A143" s="51"/>
      <c r="B143" s="11" t="str">
        <f aca="false">IF(A143="","",INT((A143-'Start here'!$C$5)/7)+1)</f>
        <v/>
      </c>
      <c r="C143" s="20"/>
      <c r="D143" s="20"/>
      <c r="E143" s="20"/>
      <c r="F143" s="20"/>
      <c r="G143" s="11" t="str">
        <f aca="false">IF(OR(D143="",E143=""),"",IF(E143+10-IF(F143="",10,F143)&lt;=1,D143,ROUND(D143*(1+(E143+10-IF(F143="",10,F143))/30),1)))</f>
        <v/>
      </c>
      <c r="H143" s="20"/>
      <c r="I143" s="20"/>
      <c r="J143" s="11" t="str">
        <f aca="false">IF(OR(C143="",G143=""),"",IF(_xlfn.MAXIFS($G$13:G142,$C$13:C142,C143)=0,"",_xlfn.MAXIFS($G$13:G142,$C$13:C142,C143)))</f>
        <v/>
      </c>
      <c r="K143" s="11" t="str">
        <f aca="false">IF(OR(G143="",J143=""),"",IF(G143&lt;0.95*J143,"Below trend","OK"))</f>
        <v/>
      </c>
    </row>
    <row r="144" customFormat="false" ht="15" hidden="false" customHeight="false" outlineLevel="0" collapsed="false">
      <c r="A144" s="51"/>
      <c r="B144" s="11" t="str">
        <f aca="false">IF(A144="","",INT((A144-'Start here'!$C$5)/7)+1)</f>
        <v/>
      </c>
      <c r="C144" s="20"/>
      <c r="D144" s="20"/>
      <c r="E144" s="20"/>
      <c r="F144" s="20"/>
      <c r="G144" s="11" t="str">
        <f aca="false">IF(OR(D144="",E144=""),"",IF(E144+10-IF(F144="",10,F144)&lt;=1,D144,ROUND(D144*(1+(E144+10-IF(F144="",10,F144))/30),1)))</f>
        <v/>
      </c>
      <c r="H144" s="20"/>
      <c r="I144" s="20"/>
      <c r="J144" s="11" t="str">
        <f aca="false">IF(OR(C144="",G144=""),"",IF(_xlfn.MAXIFS($G$13:G143,$C$13:C143,C144)=0,"",_xlfn.MAXIFS($G$13:G143,$C$13:C143,C144)))</f>
        <v/>
      </c>
      <c r="K144" s="11" t="str">
        <f aca="false">IF(OR(G144="",J144=""),"",IF(G144&lt;0.95*J144,"Below trend","OK"))</f>
        <v/>
      </c>
    </row>
    <row r="145" customFormat="false" ht="15" hidden="false" customHeight="false" outlineLevel="0" collapsed="false">
      <c r="A145" s="51"/>
      <c r="B145" s="11" t="str">
        <f aca="false">IF(A145="","",INT((A145-'Start here'!$C$5)/7)+1)</f>
        <v/>
      </c>
      <c r="C145" s="20"/>
      <c r="D145" s="20"/>
      <c r="E145" s="20"/>
      <c r="F145" s="20"/>
      <c r="G145" s="11" t="str">
        <f aca="false">IF(OR(D145="",E145=""),"",IF(E145+10-IF(F145="",10,F145)&lt;=1,D145,ROUND(D145*(1+(E145+10-IF(F145="",10,F145))/30),1)))</f>
        <v/>
      </c>
      <c r="H145" s="20"/>
      <c r="I145" s="20"/>
      <c r="J145" s="11" t="str">
        <f aca="false">IF(OR(C145="",G145=""),"",IF(_xlfn.MAXIFS($G$13:G144,$C$13:C144,C145)=0,"",_xlfn.MAXIFS($G$13:G144,$C$13:C144,C145)))</f>
        <v/>
      </c>
      <c r="K145" s="11" t="str">
        <f aca="false">IF(OR(G145="",J145=""),"",IF(G145&lt;0.95*J145,"Below trend","OK"))</f>
        <v/>
      </c>
    </row>
    <row r="146" customFormat="false" ht="15" hidden="false" customHeight="false" outlineLevel="0" collapsed="false">
      <c r="A146" s="51"/>
      <c r="B146" s="11" t="str">
        <f aca="false">IF(A146="","",INT((A146-'Start here'!$C$5)/7)+1)</f>
        <v/>
      </c>
      <c r="C146" s="20"/>
      <c r="D146" s="20"/>
      <c r="E146" s="20"/>
      <c r="F146" s="20"/>
      <c r="G146" s="11" t="str">
        <f aca="false">IF(OR(D146="",E146=""),"",IF(E146+10-IF(F146="",10,F146)&lt;=1,D146,ROUND(D146*(1+(E146+10-IF(F146="",10,F146))/30),1)))</f>
        <v/>
      </c>
      <c r="H146" s="20"/>
      <c r="I146" s="20"/>
      <c r="J146" s="11" t="str">
        <f aca="false">IF(OR(C146="",G146=""),"",IF(_xlfn.MAXIFS($G$13:G145,$C$13:C145,C146)=0,"",_xlfn.MAXIFS($G$13:G145,$C$13:C145,C146)))</f>
        <v/>
      </c>
      <c r="K146" s="11" t="str">
        <f aca="false">IF(OR(G146="",J146=""),"",IF(G146&lt;0.95*J146,"Below trend","OK"))</f>
        <v/>
      </c>
    </row>
    <row r="147" customFormat="false" ht="15" hidden="false" customHeight="false" outlineLevel="0" collapsed="false">
      <c r="A147" s="51"/>
      <c r="B147" s="11" t="str">
        <f aca="false">IF(A147="","",INT((A147-'Start here'!$C$5)/7)+1)</f>
        <v/>
      </c>
      <c r="C147" s="20"/>
      <c r="D147" s="20"/>
      <c r="E147" s="20"/>
      <c r="F147" s="20"/>
      <c r="G147" s="11" t="str">
        <f aca="false">IF(OR(D147="",E147=""),"",IF(E147+10-IF(F147="",10,F147)&lt;=1,D147,ROUND(D147*(1+(E147+10-IF(F147="",10,F147))/30),1)))</f>
        <v/>
      </c>
      <c r="H147" s="20"/>
      <c r="I147" s="20"/>
      <c r="J147" s="11" t="str">
        <f aca="false">IF(OR(C147="",G147=""),"",IF(_xlfn.MAXIFS($G$13:G146,$C$13:C146,C147)=0,"",_xlfn.MAXIFS($G$13:G146,$C$13:C146,C147)))</f>
        <v/>
      </c>
      <c r="K147" s="11" t="str">
        <f aca="false">IF(OR(G147="",J147=""),"",IF(G147&lt;0.95*J147,"Below trend","OK"))</f>
        <v/>
      </c>
    </row>
    <row r="148" customFormat="false" ht="15" hidden="false" customHeight="false" outlineLevel="0" collapsed="false">
      <c r="A148" s="51"/>
      <c r="B148" s="11" t="str">
        <f aca="false">IF(A148="","",INT((A148-'Start here'!$C$5)/7)+1)</f>
        <v/>
      </c>
      <c r="C148" s="20"/>
      <c r="D148" s="20"/>
      <c r="E148" s="20"/>
      <c r="F148" s="20"/>
      <c r="G148" s="11" t="str">
        <f aca="false">IF(OR(D148="",E148=""),"",IF(E148+10-IF(F148="",10,F148)&lt;=1,D148,ROUND(D148*(1+(E148+10-IF(F148="",10,F148))/30),1)))</f>
        <v/>
      </c>
      <c r="H148" s="20"/>
      <c r="I148" s="20"/>
      <c r="J148" s="11" t="str">
        <f aca="false">IF(OR(C148="",G148=""),"",IF(_xlfn.MAXIFS($G$13:G147,$C$13:C147,C148)=0,"",_xlfn.MAXIFS($G$13:G147,$C$13:C147,C148)))</f>
        <v/>
      </c>
      <c r="K148" s="11" t="str">
        <f aca="false">IF(OR(G148="",J148=""),"",IF(G148&lt;0.95*J148,"Below trend","OK"))</f>
        <v/>
      </c>
    </row>
    <row r="149" customFormat="false" ht="15" hidden="false" customHeight="false" outlineLevel="0" collapsed="false">
      <c r="A149" s="51"/>
      <c r="B149" s="11" t="str">
        <f aca="false">IF(A149="","",INT((A149-'Start here'!$C$5)/7)+1)</f>
        <v/>
      </c>
      <c r="C149" s="20"/>
      <c r="D149" s="20"/>
      <c r="E149" s="20"/>
      <c r="F149" s="20"/>
      <c r="G149" s="11" t="str">
        <f aca="false">IF(OR(D149="",E149=""),"",IF(E149+10-IF(F149="",10,F149)&lt;=1,D149,ROUND(D149*(1+(E149+10-IF(F149="",10,F149))/30),1)))</f>
        <v/>
      </c>
      <c r="H149" s="20"/>
      <c r="I149" s="20"/>
      <c r="J149" s="11" t="str">
        <f aca="false">IF(OR(C149="",G149=""),"",IF(_xlfn.MAXIFS($G$13:G148,$C$13:C148,C149)=0,"",_xlfn.MAXIFS($G$13:G148,$C$13:C148,C149)))</f>
        <v/>
      </c>
      <c r="K149" s="11" t="str">
        <f aca="false">IF(OR(G149="",J149=""),"",IF(G149&lt;0.95*J149,"Below trend","OK"))</f>
        <v/>
      </c>
    </row>
    <row r="150" customFormat="false" ht="15" hidden="false" customHeight="false" outlineLevel="0" collapsed="false">
      <c r="A150" s="51"/>
      <c r="B150" s="11" t="str">
        <f aca="false">IF(A150="","",INT((A150-'Start here'!$C$5)/7)+1)</f>
        <v/>
      </c>
      <c r="C150" s="20"/>
      <c r="D150" s="20"/>
      <c r="E150" s="20"/>
      <c r="F150" s="20"/>
      <c r="G150" s="11" t="str">
        <f aca="false">IF(OR(D150="",E150=""),"",IF(E150+10-IF(F150="",10,F150)&lt;=1,D150,ROUND(D150*(1+(E150+10-IF(F150="",10,F150))/30),1)))</f>
        <v/>
      </c>
      <c r="H150" s="20"/>
      <c r="I150" s="20"/>
      <c r="J150" s="11" t="str">
        <f aca="false">IF(OR(C150="",G150=""),"",IF(_xlfn.MAXIFS($G$13:G149,$C$13:C149,C150)=0,"",_xlfn.MAXIFS($G$13:G149,$C$13:C149,C150)))</f>
        <v/>
      </c>
      <c r="K150" s="11" t="str">
        <f aca="false">IF(OR(G150="",J150=""),"",IF(G150&lt;0.95*J150,"Below trend","OK"))</f>
        <v/>
      </c>
    </row>
    <row r="151" customFormat="false" ht="15" hidden="false" customHeight="false" outlineLevel="0" collapsed="false">
      <c r="A151" s="51"/>
      <c r="B151" s="11" t="str">
        <f aca="false">IF(A151="","",INT((A151-'Start here'!$C$5)/7)+1)</f>
        <v/>
      </c>
      <c r="C151" s="20"/>
      <c r="D151" s="20"/>
      <c r="E151" s="20"/>
      <c r="F151" s="20"/>
      <c r="G151" s="11" t="str">
        <f aca="false">IF(OR(D151="",E151=""),"",IF(E151+10-IF(F151="",10,F151)&lt;=1,D151,ROUND(D151*(1+(E151+10-IF(F151="",10,F151))/30),1)))</f>
        <v/>
      </c>
      <c r="H151" s="20"/>
      <c r="I151" s="20"/>
      <c r="J151" s="11" t="str">
        <f aca="false">IF(OR(C151="",G151=""),"",IF(_xlfn.MAXIFS($G$13:G150,$C$13:C150,C151)=0,"",_xlfn.MAXIFS($G$13:G150,$C$13:C150,C151)))</f>
        <v/>
      </c>
      <c r="K151" s="11" t="str">
        <f aca="false">IF(OR(G151="",J151=""),"",IF(G151&lt;0.95*J151,"Below trend","OK"))</f>
        <v/>
      </c>
    </row>
    <row r="152" customFormat="false" ht="15" hidden="false" customHeight="false" outlineLevel="0" collapsed="false">
      <c r="A152" s="51"/>
      <c r="B152" s="11" t="str">
        <f aca="false">IF(A152="","",INT((A152-'Start here'!$C$5)/7)+1)</f>
        <v/>
      </c>
      <c r="C152" s="20"/>
      <c r="D152" s="20"/>
      <c r="E152" s="20"/>
      <c r="F152" s="20"/>
      <c r="G152" s="11" t="str">
        <f aca="false">IF(OR(D152="",E152=""),"",IF(E152+10-IF(F152="",10,F152)&lt;=1,D152,ROUND(D152*(1+(E152+10-IF(F152="",10,F152))/30),1)))</f>
        <v/>
      </c>
      <c r="H152" s="20"/>
      <c r="I152" s="20"/>
      <c r="J152" s="11" t="str">
        <f aca="false">IF(OR(C152="",G152=""),"",IF(_xlfn.MAXIFS($G$13:G151,$C$13:C151,C152)=0,"",_xlfn.MAXIFS($G$13:G151,$C$13:C151,C152)))</f>
        <v/>
      </c>
      <c r="K152" s="11" t="str">
        <f aca="false">IF(OR(G152="",J152=""),"",IF(G152&lt;0.95*J152,"Below trend","OK"))</f>
        <v/>
      </c>
    </row>
    <row r="153" customFormat="false" ht="15" hidden="false" customHeight="false" outlineLevel="0" collapsed="false">
      <c r="A153" s="51"/>
      <c r="B153" s="11" t="str">
        <f aca="false">IF(A153="","",INT((A153-'Start here'!$C$5)/7)+1)</f>
        <v/>
      </c>
      <c r="C153" s="20"/>
      <c r="D153" s="20"/>
      <c r="E153" s="20"/>
      <c r="F153" s="20"/>
      <c r="G153" s="11" t="str">
        <f aca="false">IF(OR(D153="",E153=""),"",IF(E153+10-IF(F153="",10,F153)&lt;=1,D153,ROUND(D153*(1+(E153+10-IF(F153="",10,F153))/30),1)))</f>
        <v/>
      </c>
      <c r="H153" s="20"/>
      <c r="I153" s="20"/>
      <c r="J153" s="11" t="str">
        <f aca="false">IF(OR(C153="",G153=""),"",IF(_xlfn.MAXIFS($G$13:G152,$C$13:C152,C153)=0,"",_xlfn.MAXIFS($G$13:G152,$C$13:C152,C153)))</f>
        <v/>
      </c>
      <c r="K153" s="11" t="str">
        <f aca="false">IF(OR(G153="",J153=""),"",IF(G153&lt;0.95*J153,"Below trend","OK"))</f>
        <v/>
      </c>
    </row>
    <row r="154" customFormat="false" ht="15" hidden="false" customHeight="false" outlineLevel="0" collapsed="false">
      <c r="A154" s="51"/>
      <c r="B154" s="11" t="str">
        <f aca="false">IF(A154="","",INT((A154-'Start here'!$C$5)/7)+1)</f>
        <v/>
      </c>
      <c r="C154" s="20"/>
      <c r="D154" s="20"/>
      <c r="E154" s="20"/>
      <c r="F154" s="20"/>
      <c r="G154" s="11" t="str">
        <f aca="false">IF(OR(D154="",E154=""),"",IF(E154+10-IF(F154="",10,F154)&lt;=1,D154,ROUND(D154*(1+(E154+10-IF(F154="",10,F154))/30),1)))</f>
        <v/>
      </c>
      <c r="H154" s="20"/>
      <c r="I154" s="20"/>
      <c r="J154" s="11" t="str">
        <f aca="false">IF(OR(C154="",G154=""),"",IF(_xlfn.MAXIFS($G$13:G153,$C$13:C153,C154)=0,"",_xlfn.MAXIFS($G$13:G153,$C$13:C153,C154)))</f>
        <v/>
      </c>
      <c r="K154" s="11" t="str">
        <f aca="false">IF(OR(G154="",J154=""),"",IF(G154&lt;0.95*J154,"Below trend","OK"))</f>
        <v/>
      </c>
    </row>
    <row r="155" customFormat="false" ht="15" hidden="false" customHeight="false" outlineLevel="0" collapsed="false">
      <c r="A155" s="51"/>
      <c r="B155" s="11" t="str">
        <f aca="false">IF(A155="","",INT((A155-'Start here'!$C$5)/7)+1)</f>
        <v/>
      </c>
      <c r="C155" s="20"/>
      <c r="D155" s="20"/>
      <c r="E155" s="20"/>
      <c r="F155" s="20"/>
      <c r="G155" s="11" t="str">
        <f aca="false">IF(OR(D155="",E155=""),"",IF(E155+10-IF(F155="",10,F155)&lt;=1,D155,ROUND(D155*(1+(E155+10-IF(F155="",10,F155))/30),1)))</f>
        <v/>
      </c>
      <c r="H155" s="20"/>
      <c r="I155" s="20"/>
      <c r="J155" s="11" t="str">
        <f aca="false">IF(OR(C155="",G155=""),"",IF(_xlfn.MAXIFS($G$13:G154,$C$13:C154,C155)=0,"",_xlfn.MAXIFS($G$13:G154,$C$13:C154,C155)))</f>
        <v/>
      </c>
      <c r="K155" s="11" t="str">
        <f aca="false">IF(OR(G155="",J155=""),"",IF(G155&lt;0.95*J155,"Below trend","OK"))</f>
        <v/>
      </c>
    </row>
    <row r="156" customFormat="false" ht="15" hidden="false" customHeight="false" outlineLevel="0" collapsed="false">
      <c r="A156" s="51"/>
      <c r="B156" s="11" t="str">
        <f aca="false">IF(A156="","",INT((A156-'Start here'!$C$5)/7)+1)</f>
        <v/>
      </c>
      <c r="C156" s="20"/>
      <c r="D156" s="20"/>
      <c r="E156" s="20"/>
      <c r="F156" s="20"/>
      <c r="G156" s="11" t="str">
        <f aca="false">IF(OR(D156="",E156=""),"",IF(E156+10-IF(F156="",10,F156)&lt;=1,D156,ROUND(D156*(1+(E156+10-IF(F156="",10,F156))/30),1)))</f>
        <v/>
      </c>
      <c r="H156" s="20"/>
      <c r="I156" s="20"/>
      <c r="J156" s="11" t="str">
        <f aca="false">IF(OR(C156="",G156=""),"",IF(_xlfn.MAXIFS($G$13:G155,$C$13:C155,C156)=0,"",_xlfn.MAXIFS($G$13:G155,$C$13:C155,C156)))</f>
        <v/>
      </c>
      <c r="K156" s="11" t="str">
        <f aca="false">IF(OR(G156="",J156=""),"",IF(G156&lt;0.95*J156,"Below trend","OK"))</f>
        <v/>
      </c>
    </row>
    <row r="157" customFormat="false" ht="15" hidden="false" customHeight="false" outlineLevel="0" collapsed="false">
      <c r="A157" s="51"/>
      <c r="B157" s="11" t="str">
        <f aca="false">IF(A157="","",INT((A157-'Start here'!$C$5)/7)+1)</f>
        <v/>
      </c>
      <c r="C157" s="20"/>
      <c r="D157" s="20"/>
      <c r="E157" s="20"/>
      <c r="F157" s="20"/>
      <c r="G157" s="11" t="str">
        <f aca="false">IF(OR(D157="",E157=""),"",IF(E157+10-IF(F157="",10,F157)&lt;=1,D157,ROUND(D157*(1+(E157+10-IF(F157="",10,F157))/30),1)))</f>
        <v/>
      </c>
      <c r="H157" s="20"/>
      <c r="I157" s="20"/>
      <c r="J157" s="11" t="str">
        <f aca="false">IF(OR(C157="",G157=""),"",IF(_xlfn.MAXIFS($G$13:G156,$C$13:C156,C157)=0,"",_xlfn.MAXIFS($G$13:G156,$C$13:C156,C157)))</f>
        <v/>
      </c>
      <c r="K157" s="11" t="str">
        <f aca="false">IF(OR(G157="",J157=""),"",IF(G157&lt;0.95*J157,"Below trend","OK"))</f>
        <v/>
      </c>
    </row>
    <row r="158" customFormat="false" ht="15" hidden="false" customHeight="false" outlineLevel="0" collapsed="false">
      <c r="A158" s="51"/>
      <c r="B158" s="11" t="str">
        <f aca="false">IF(A158="","",INT((A158-'Start here'!$C$5)/7)+1)</f>
        <v/>
      </c>
      <c r="C158" s="20"/>
      <c r="D158" s="20"/>
      <c r="E158" s="20"/>
      <c r="F158" s="20"/>
      <c r="G158" s="11" t="str">
        <f aca="false">IF(OR(D158="",E158=""),"",IF(E158+10-IF(F158="",10,F158)&lt;=1,D158,ROUND(D158*(1+(E158+10-IF(F158="",10,F158))/30),1)))</f>
        <v/>
      </c>
      <c r="H158" s="20"/>
      <c r="I158" s="20"/>
      <c r="J158" s="11" t="str">
        <f aca="false">IF(OR(C158="",G158=""),"",IF(_xlfn.MAXIFS($G$13:G157,$C$13:C157,C158)=0,"",_xlfn.MAXIFS($G$13:G157,$C$13:C157,C158)))</f>
        <v/>
      </c>
      <c r="K158" s="11" t="str">
        <f aca="false">IF(OR(G158="",J158=""),"",IF(G158&lt;0.95*J158,"Below trend","OK"))</f>
        <v/>
      </c>
    </row>
    <row r="159" customFormat="false" ht="15" hidden="false" customHeight="false" outlineLevel="0" collapsed="false">
      <c r="A159" s="51"/>
      <c r="B159" s="11" t="str">
        <f aca="false">IF(A159="","",INT((A159-'Start here'!$C$5)/7)+1)</f>
        <v/>
      </c>
      <c r="C159" s="20"/>
      <c r="D159" s="20"/>
      <c r="E159" s="20"/>
      <c r="F159" s="20"/>
      <c r="G159" s="11" t="str">
        <f aca="false">IF(OR(D159="",E159=""),"",IF(E159+10-IF(F159="",10,F159)&lt;=1,D159,ROUND(D159*(1+(E159+10-IF(F159="",10,F159))/30),1)))</f>
        <v/>
      </c>
      <c r="H159" s="20"/>
      <c r="I159" s="20"/>
      <c r="J159" s="11" t="str">
        <f aca="false">IF(OR(C159="",G159=""),"",IF(_xlfn.MAXIFS($G$13:G158,$C$13:C158,C159)=0,"",_xlfn.MAXIFS($G$13:G158,$C$13:C158,C159)))</f>
        <v/>
      </c>
      <c r="K159" s="11" t="str">
        <f aca="false">IF(OR(G159="",J159=""),"",IF(G159&lt;0.95*J159,"Below trend","OK"))</f>
        <v/>
      </c>
    </row>
    <row r="160" customFormat="false" ht="15" hidden="false" customHeight="false" outlineLevel="0" collapsed="false">
      <c r="A160" s="51"/>
      <c r="B160" s="11" t="str">
        <f aca="false">IF(A160="","",INT((A160-'Start here'!$C$5)/7)+1)</f>
        <v/>
      </c>
      <c r="C160" s="20"/>
      <c r="D160" s="20"/>
      <c r="E160" s="20"/>
      <c r="F160" s="20"/>
      <c r="G160" s="11" t="str">
        <f aca="false">IF(OR(D160="",E160=""),"",IF(E160+10-IF(F160="",10,F160)&lt;=1,D160,ROUND(D160*(1+(E160+10-IF(F160="",10,F160))/30),1)))</f>
        <v/>
      </c>
      <c r="H160" s="20"/>
      <c r="I160" s="20"/>
      <c r="J160" s="11" t="str">
        <f aca="false">IF(OR(C160="",G160=""),"",IF(_xlfn.MAXIFS($G$13:G159,$C$13:C159,C160)=0,"",_xlfn.MAXIFS($G$13:G159,$C$13:C159,C160)))</f>
        <v/>
      </c>
      <c r="K160" s="11" t="str">
        <f aca="false">IF(OR(G160="",J160=""),"",IF(G160&lt;0.95*J160,"Below trend","OK"))</f>
        <v/>
      </c>
    </row>
    <row r="161" customFormat="false" ht="15" hidden="false" customHeight="false" outlineLevel="0" collapsed="false">
      <c r="A161" s="51"/>
      <c r="B161" s="11" t="str">
        <f aca="false">IF(A161="","",INT((A161-'Start here'!$C$5)/7)+1)</f>
        <v/>
      </c>
      <c r="C161" s="20"/>
      <c r="D161" s="20"/>
      <c r="E161" s="20"/>
      <c r="F161" s="20"/>
      <c r="G161" s="11" t="str">
        <f aca="false">IF(OR(D161="",E161=""),"",IF(E161+10-IF(F161="",10,F161)&lt;=1,D161,ROUND(D161*(1+(E161+10-IF(F161="",10,F161))/30),1)))</f>
        <v/>
      </c>
      <c r="H161" s="20"/>
      <c r="I161" s="20"/>
      <c r="J161" s="11" t="str">
        <f aca="false">IF(OR(C161="",G161=""),"",IF(_xlfn.MAXIFS($G$13:G160,$C$13:C160,C161)=0,"",_xlfn.MAXIFS($G$13:G160,$C$13:C160,C161)))</f>
        <v/>
      </c>
      <c r="K161" s="11" t="str">
        <f aca="false">IF(OR(G161="",J161=""),"",IF(G161&lt;0.95*J161,"Below trend","OK"))</f>
        <v/>
      </c>
    </row>
    <row r="162" customFormat="false" ht="15" hidden="false" customHeight="false" outlineLevel="0" collapsed="false">
      <c r="A162" s="51"/>
      <c r="B162" s="11" t="str">
        <f aca="false">IF(A162="","",INT((A162-'Start here'!$C$5)/7)+1)</f>
        <v/>
      </c>
      <c r="C162" s="20"/>
      <c r="D162" s="20"/>
      <c r="E162" s="20"/>
      <c r="F162" s="20"/>
      <c r="G162" s="11" t="str">
        <f aca="false">IF(OR(D162="",E162=""),"",IF(E162+10-IF(F162="",10,F162)&lt;=1,D162,ROUND(D162*(1+(E162+10-IF(F162="",10,F162))/30),1)))</f>
        <v/>
      </c>
      <c r="H162" s="20"/>
      <c r="I162" s="20"/>
      <c r="J162" s="11" t="str">
        <f aca="false">IF(OR(C162="",G162=""),"",IF(_xlfn.MAXIFS($G$13:G161,$C$13:C161,C162)=0,"",_xlfn.MAXIFS($G$13:G161,$C$13:C161,C162)))</f>
        <v/>
      </c>
      <c r="K162" s="11" t="str">
        <f aca="false">IF(OR(G162="",J162=""),"",IF(G162&lt;0.95*J162,"Below trend","OK"))</f>
        <v/>
      </c>
    </row>
    <row r="163" customFormat="false" ht="15" hidden="false" customHeight="false" outlineLevel="0" collapsed="false">
      <c r="A163" s="51"/>
      <c r="B163" s="11" t="str">
        <f aca="false">IF(A163="","",INT((A163-'Start here'!$C$5)/7)+1)</f>
        <v/>
      </c>
      <c r="C163" s="20"/>
      <c r="D163" s="20"/>
      <c r="E163" s="20"/>
      <c r="F163" s="20"/>
      <c r="G163" s="11" t="str">
        <f aca="false">IF(OR(D163="",E163=""),"",IF(E163+10-IF(F163="",10,F163)&lt;=1,D163,ROUND(D163*(1+(E163+10-IF(F163="",10,F163))/30),1)))</f>
        <v/>
      </c>
      <c r="H163" s="20"/>
      <c r="I163" s="20"/>
      <c r="J163" s="11" t="str">
        <f aca="false">IF(OR(C163="",G163=""),"",IF(_xlfn.MAXIFS($G$13:G162,$C$13:C162,C163)=0,"",_xlfn.MAXIFS($G$13:G162,$C$13:C162,C163)))</f>
        <v/>
      </c>
      <c r="K163" s="11" t="str">
        <f aca="false">IF(OR(G163="",J163=""),"",IF(G163&lt;0.95*J163,"Below trend","OK"))</f>
        <v/>
      </c>
    </row>
    <row r="164" customFormat="false" ht="15" hidden="false" customHeight="false" outlineLevel="0" collapsed="false">
      <c r="A164" s="51"/>
      <c r="B164" s="11" t="str">
        <f aca="false">IF(A164="","",INT((A164-'Start here'!$C$5)/7)+1)</f>
        <v/>
      </c>
      <c r="C164" s="20"/>
      <c r="D164" s="20"/>
      <c r="E164" s="20"/>
      <c r="F164" s="20"/>
      <c r="G164" s="11" t="str">
        <f aca="false">IF(OR(D164="",E164=""),"",IF(E164+10-IF(F164="",10,F164)&lt;=1,D164,ROUND(D164*(1+(E164+10-IF(F164="",10,F164))/30),1)))</f>
        <v/>
      </c>
      <c r="H164" s="20"/>
      <c r="I164" s="20"/>
      <c r="J164" s="11" t="str">
        <f aca="false">IF(OR(C164="",G164=""),"",IF(_xlfn.MAXIFS($G$13:G163,$C$13:C163,C164)=0,"",_xlfn.MAXIFS($G$13:G163,$C$13:C163,C164)))</f>
        <v/>
      </c>
      <c r="K164" s="11" t="str">
        <f aca="false">IF(OR(G164="",J164=""),"",IF(G164&lt;0.95*J164,"Below trend","OK"))</f>
        <v/>
      </c>
    </row>
    <row r="165" customFormat="false" ht="15" hidden="false" customHeight="false" outlineLevel="0" collapsed="false">
      <c r="A165" s="51"/>
      <c r="B165" s="11" t="str">
        <f aca="false">IF(A165="","",INT((A165-'Start here'!$C$5)/7)+1)</f>
        <v/>
      </c>
      <c r="C165" s="20"/>
      <c r="D165" s="20"/>
      <c r="E165" s="20"/>
      <c r="F165" s="20"/>
      <c r="G165" s="11" t="str">
        <f aca="false">IF(OR(D165="",E165=""),"",IF(E165+10-IF(F165="",10,F165)&lt;=1,D165,ROUND(D165*(1+(E165+10-IF(F165="",10,F165))/30),1)))</f>
        <v/>
      </c>
      <c r="H165" s="20"/>
      <c r="I165" s="20"/>
      <c r="J165" s="11" t="str">
        <f aca="false">IF(OR(C165="",G165=""),"",IF(_xlfn.MAXIFS($G$13:G164,$C$13:C164,C165)=0,"",_xlfn.MAXIFS($G$13:G164,$C$13:C164,C165)))</f>
        <v/>
      </c>
      <c r="K165" s="11" t="str">
        <f aca="false">IF(OR(G165="",J165=""),"",IF(G165&lt;0.95*J165,"Below trend","OK"))</f>
        <v/>
      </c>
    </row>
    <row r="166" customFormat="false" ht="15" hidden="false" customHeight="false" outlineLevel="0" collapsed="false">
      <c r="A166" s="51"/>
      <c r="B166" s="11" t="str">
        <f aca="false">IF(A166="","",INT((A166-'Start here'!$C$5)/7)+1)</f>
        <v/>
      </c>
      <c r="C166" s="20"/>
      <c r="D166" s="20"/>
      <c r="E166" s="20"/>
      <c r="F166" s="20"/>
      <c r="G166" s="11" t="str">
        <f aca="false">IF(OR(D166="",E166=""),"",IF(E166+10-IF(F166="",10,F166)&lt;=1,D166,ROUND(D166*(1+(E166+10-IF(F166="",10,F166))/30),1)))</f>
        <v/>
      </c>
      <c r="H166" s="20"/>
      <c r="I166" s="20"/>
      <c r="J166" s="11" t="str">
        <f aca="false">IF(OR(C166="",G166=""),"",IF(_xlfn.MAXIFS($G$13:G165,$C$13:C165,C166)=0,"",_xlfn.MAXIFS($G$13:G165,$C$13:C165,C166)))</f>
        <v/>
      </c>
      <c r="K166" s="11" t="str">
        <f aca="false">IF(OR(G166="",J166=""),"",IF(G166&lt;0.95*J166,"Below trend","OK"))</f>
        <v/>
      </c>
    </row>
    <row r="167" customFormat="false" ht="15" hidden="false" customHeight="false" outlineLevel="0" collapsed="false">
      <c r="A167" s="51"/>
      <c r="B167" s="11" t="str">
        <f aca="false">IF(A167="","",INT((A167-'Start here'!$C$5)/7)+1)</f>
        <v/>
      </c>
      <c r="C167" s="20"/>
      <c r="D167" s="20"/>
      <c r="E167" s="20"/>
      <c r="F167" s="20"/>
      <c r="G167" s="11" t="str">
        <f aca="false">IF(OR(D167="",E167=""),"",IF(E167+10-IF(F167="",10,F167)&lt;=1,D167,ROUND(D167*(1+(E167+10-IF(F167="",10,F167))/30),1)))</f>
        <v/>
      </c>
      <c r="H167" s="20"/>
      <c r="I167" s="20"/>
      <c r="J167" s="11" t="str">
        <f aca="false">IF(OR(C167="",G167=""),"",IF(_xlfn.MAXIFS($G$13:G166,$C$13:C166,C167)=0,"",_xlfn.MAXIFS($G$13:G166,$C$13:C166,C167)))</f>
        <v/>
      </c>
      <c r="K167" s="11" t="str">
        <f aca="false">IF(OR(G167="",J167=""),"",IF(G167&lt;0.95*J167,"Below trend","OK"))</f>
        <v/>
      </c>
    </row>
    <row r="168" customFormat="false" ht="15" hidden="false" customHeight="false" outlineLevel="0" collapsed="false">
      <c r="A168" s="51"/>
      <c r="B168" s="11" t="str">
        <f aca="false">IF(A168="","",INT((A168-'Start here'!$C$5)/7)+1)</f>
        <v/>
      </c>
      <c r="C168" s="20"/>
      <c r="D168" s="20"/>
      <c r="E168" s="20"/>
      <c r="F168" s="20"/>
      <c r="G168" s="11" t="str">
        <f aca="false">IF(OR(D168="",E168=""),"",IF(E168+10-IF(F168="",10,F168)&lt;=1,D168,ROUND(D168*(1+(E168+10-IF(F168="",10,F168))/30),1)))</f>
        <v/>
      </c>
      <c r="H168" s="20"/>
      <c r="I168" s="20"/>
      <c r="J168" s="11" t="str">
        <f aca="false">IF(OR(C168="",G168=""),"",IF(_xlfn.MAXIFS($G$13:G167,$C$13:C167,C168)=0,"",_xlfn.MAXIFS($G$13:G167,$C$13:C167,C168)))</f>
        <v/>
      </c>
      <c r="K168" s="11" t="str">
        <f aca="false">IF(OR(G168="",J168=""),"",IF(G168&lt;0.95*J168,"Below trend","OK"))</f>
        <v/>
      </c>
    </row>
    <row r="169" customFormat="false" ht="15" hidden="false" customHeight="false" outlineLevel="0" collapsed="false">
      <c r="A169" s="51"/>
      <c r="B169" s="11" t="str">
        <f aca="false">IF(A169="","",INT((A169-'Start here'!$C$5)/7)+1)</f>
        <v/>
      </c>
      <c r="C169" s="20"/>
      <c r="D169" s="20"/>
      <c r="E169" s="20"/>
      <c r="F169" s="20"/>
      <c r="G169" s="11" t="str">
        <f aca="false">IF(OR(D169="",E169=""),"",IF(E169+10-IF(F169="",10,F169)&lt;=1,D169,ROUND(D169*(1+(E169+10-IF(F169="",10,F169))/30),1)))</f>
        <v/>
      </c>
      <c r="H169" s="20"/>
      <c r="I169" s="20"/>
      <c r="J169" s="11" t="str">
        <f aca="false">IF(OR(C169="",G169=""),"",IF(_xlfn.MAXIFS($G$13:G168,$C$13:C168,C169)=0,"",_xlfn.MAXIFS($G$13:G168,$C$13:C168,C169)))</f>
        <v/>
      </c>
      <c r="K169" s="11" t="str">
        <f aca="false">IF(OR(G169="",J169=""),"",IF(G169&lt;0.95*J169,"Below trend","OK"))</f>
        <v/>
      </c>
    </row>
    <row r="170" customFormat="false" ht="15" hidden="false" customHeight="false" outlineLevel="0" collapsed="false">
      <c r="A170" s="51"/>
      <c r="B170" s="11" t="str">
        <f aca="false">IF(A170="","",INT((A170-'Start here'!$C$5)/7)+1)</f>
        <v/>
      </c>
      <c r="C170" s="20"/>
      <c r="D170" s="20"/>
      <c r="E170" s="20"/>
      <c r="F170" s="20"/>
      <c r="G170" s="11" t="str">
        <f aca="false">IF(OR(D170="",E170=""),"",IF(E170+10-IF(F170="",10,F170)&lt;=1,D170,ROUND(D170*(1+(E170+10-IF(F170="",10,F170))/30),1)))</f>
        <v/>
      </c>
      <c r="H170" s="20"/>
      <c r="I170" s="20"/>
      <c r="J170" s="11" t="str">
        <f aca="false">IF(OR(C170="",G170=""),"",IF(_xlfn.MAXIFS($G$13:G169,$C$13:C169,C170)=0,"",_xlfn.MAXIFS($G$13:G169,$C$13:C169,C170)))</f>
        <v/>
      </c>
      <c r="K170" s="11" t="str">
        <f aca="false">IF(OR(G170="",J170=""),"",IF(G170&lt;0.95*J170,"Below trend","OK"))</f>
        <v/>
      </c>
    </row>
    <row r="171" customFormat="false" ht="15" hidden="false" customHeight="false" outlineLevel="0" collapsed="false">
      <c r="A171" s="51"/>
      <c r="B171" s="11" t="str">
        <f aca="false">IF(A171="","",INT((A171-'Start here'!$C$5)/7)+1)</f>
        <v/>
      </c>
      <c r="C171" s="20"/>
      <c r="D171" s="20"/>
      <c r="E171" s="20"/>
      <c r="F171" s="20"/>
      <c r="G171" s="11" t="str">
        <f aca="false">IF(OR(D171="",E171=""),"",IF(E171+10-IF(F171="",10,F171)&lt;=1,D171,ROUND(D171*(1+(E171+10-IF(F171="",10,F171))/30),1)))</f>
        <v/>
      </c>
      <c r="H171" s="20"/>
      <c r="I171" s="20"/>
      <c r="J171" s="11" t="str">
        <f aca="false">IF(OR(C171="",G171=""),"",IF(_xlfn.MAXIFS($G$13:G170,$C$13:C170,C171)=0,"",_xlfn.MAXIFS($G$13:G170,$C$13:C170,C171)))</f>
        <v/>
      </c>
      <c r="K171" s="11" t="str">
        <f aca="false">IF(OR(G171="",J171=""),"",IF(G171&lt;0.95*J171,"Below trend","OK"))</f>
        <v/>
      </c>
    </row>
    <row r="172" customFormat="false" ht="15" hidden="false" customHeight="false" outlineLevel="0" collapsed="false">
      <c r="A172" s="51"/>
      <c r="B172" s="11" t="str">
        <f aca="false">IF(A172="","",INT((A172-'Start here'!$C$5)/7)+1)</f>
        <v/>
      </c>
      <c r="C172" s="20"/>
      <c r="D172" s="20"/>
      <c r="E172" s="20"/>
      <c r="F172" s="20"/>
      <c r="G172" s="11" t="str">
        <f aca="false">IF(OR(D172="",E172=""),"",IF(E172+10-IF(F172="",10,F172)&lt;=1,D172,ROUND(D172*(1+(E172+10-IF(F172="",10,F172))/30),1)))</f>
        <v/>
      </c>
      <c r="H172" s="20"/>
      <c r="I172" s="20"/>
      <c r="J172" s="11" t="str">
        <f aca="false">IF(OR(C172="",G172=""),"",IF(_xlfn.MAXIFS($G$13:G171,$C$13:C171,C172)=0,"",_xlfn.MAXIFS($G$13:G171,$C$13:C171,C172)))</f>
        <v/>
      </c>
      <c r="K172" s="11" t="str">
        <f aca="false">IF(OR(G172="",J172=""),"",IF(G172&lt;0.95*J172,"Below trend","OK"))</f>
        <v/>
      </c>
    </row>
    <row r="173" customFormat="false" ht="15" hidden="false" customHeight="false" outlineLevel="0" collapsed="false">
      <c r="A173" s="51"/>
      <c r="B173" s="11" t="str">
        <f aca="false">IF(A173="","",INT((A173-'Start here'!$C$5)/7)+1)</f>
        <v/>
      </c>
      <c r="C173" s="20"/>
      <c r="D173" s="20"/>
      <c r="E173" s="20"/>
      <c r="F173" s="20"/>
      <c r="G173" s="11" t="str">
        <f aca="false">IF(OR(D173="",E173=""),"",IF(E173+10-IF(F173="",10,F173)&lt;=1,D173,ROUND(D173*(1+(E173+10-IF(F173="",10,F173))/30),1)))</f>
        <v/>
      </c>
      <c r="H173" s="20"/>
      <c r="I173" s="20"/>
      <c r="J173" s="11" t="str">
        <f aca="false">IF(OR(C173="",G173=""),"",IF(_xlfn.MAXIFS($G$13:G172,$C$13:C172,C173)=0,"",_xlfn.MAXIFS($G$13:G172,$C$13:C172,C173)))</f>
        <v/>
      </c>
      <c r="K173" s="11" t="str">
        <f aca="false">IF(OR(G173="",J173=""),"",IF(G173&lt;0.95*J173,"Below trend","OK"))</f>
        <v/>
      </c>
    </row>
    <row r="174" customFormat="false" ht="15" hidden="false" customHeight="false" outlineLevel="0" collapsed="false">
      <c r="A174" s="51"/>
      <c r="B174" s="11" t="str">
        <f aca="false">IF(A174="","",INT((A174-'Start here'!$C$5)/7)+1)</f>
        <v/>
      </c>
      <c r="C174" s="20"/>
      <c r="D174" s="20"/>
      <c r="E174" s="20"/>
      <c r="F174" s="20"/>
      <c r="G174" s="11" t="str">
        <f aca="false">IF(OR(D174="",E174=""),"",IF(E174+10-IF(F174="",10,F174)&lt;=1,D174,ROUND(D174*(1+(E174+10-IF(F174="",10,F174))/30),1)))</f>
        <v/>
      </c>
      <c r="H174" s="20"/>
      <c r="I174" s="20"/>
      <c r="J174" s="11" t="str">
        <f aca="false">IF(OR(C174="",G174=""),"",IF(_xlfn.MAXIFS($G$13:G173,$C$13:C173,C174)=0,"",_xlfn.MAXIFS($G$13:G173,$C$13:C173,C174)))</f>
        <v/>
      </c>
      <c r="K174" s="11" t="str">
        <f aca="false">IF(OR(G174="",J174=""),"",IF(G174&lt;0.95*J174,"Below trend","OK"))</f>
        <v/>
      </c>
    </row>
    <row r="175" customFormat="false" ht="15" hidden="false" customHeight="false" outlineLevel="0" collapsed="false">
      <c r="A175" s="51"/>
      <c r="B175" s="11" t="str">
        <f aca="false">IF(A175="","",INT((A175-'Start here'!$C$5)/7)+1)</f>
        <v/>
      </c>
      <c r="C175" s="20"/>
      <c r="D175" s="20"/>
      <c r="E175" s="20"/>
      <c r="F175" s="20"/>
      <c r="G175" s="11" t="str">
        <f aca="false">IF(OR(D175="",E175=""),"",IF(E175+10-IF(F175="",10,F175)&lt;=1,D175,ROUND(D175*(1+(E175+10-IF(F175="",10,F175))/30),1)))</f>
        <v/>
      </c>
      <c r="H175" s="20"/>
      <c r="I175" s="20"/>
      <c r="J175" s="11" t="str">
        <f aca="false">IF(OR(C175="",G175=""),"",IF(_xlfn.MAXIFS($G$13:G174,$C$13:C174,C175)=0,"",_xlfn.MAXIFS($G$13:G174,$C$13:C174,C175)))</f>
        <v/>
      </c>
      <c r="K175" s="11" t="str">
        <f aca="false">IF(OR(G175="",J175=""),"",IF(G175&lt;0.95*J175,"Below trend","OK"))</f>
        <v/>
      </c>
    </row>
    <row r="176" customFormat="false" ht="15" hidden="false" customHeight="false" outlineLevel="0" collapsed="false">
      <c r="A176" s="51"/>
      <c r="B176" s="11" t="str">
        <f aca="false">IF(A176="","",INT((A176-'Start here'!$C$5)/7)+1)</f>
        <v/>
      </c>
      <c r="C176" s="20"/>
      <c r="D176" s="20"/>
      <c r="E176" s="20"/>
      <c r="F176" s="20"/>
      <c r="G176" s="11" t="str">
        <f aca="false">IF(OR(D176="",E176=""),"",IF(E176+10-IF(F176="",10,F176)&lt;=1,D176,ROUND(D176*(1+(E176+10-IF(F176="",10,F176))/30),1)))</f>
        <v/>
      </c>
      <c r="H176" s="20"/>
      <c r="I176" s="20"/>
      <c r="J176" s="11" t="str">
        <f aca="false">IF(OR(C176="",G176=""),"",IF(_xlfn.MAXIFS($G$13:G175,$C$13:C175,C176)=0,"",_xlfn.MAXIFS($G$13:G175,$C$13:C175,C176)))</f>
        <v/>
      </c>
      <c r="K176" s="11" t="str">
        <f aca="false">IF(OR(G176="",J176=""),"",IF(G176&lt;0.95*J176,"Below trend","OK"))</f>
        <v/>
      </c>
    </row>
    <row r="177" customFormat="false" ht="15" hidden="false" customHeight="false" outlineLevel="0" collapsed="false">
      <c r="A177" s="51"/>
      <c r="B177" s="11" t="str">
        <f aca="false">IF(A177="","",INT((A177-'Start here'!$C$5)/7)+1)</f>
        <v/>
      </c>
      <c r="C177" s="20"/>
      <c r="D177" s="20"/>
      <c r="E177" s="20"/>
      <c r="F177" s="20"/>
      <c r="G177" s="11" t="str">
        <f aca="false">IF(OR(D177="",E177=""),"",IF(E177+10-IF(F177="",10,F177)&lt;=1,D177,ROUND(D177*(1+(E177+10-IF(F177="",10,F177))/30),1)))</f>
        <v/>
      </c>
      <c r="H177" s="20"/>
      <c r="I177" s="20"/>
      <c r="J177" s="11" t="str">
        <f aca="false">IF(OR(C177="",G177=""),"",IF(_xlfn.MAXIFS($G$13:G176,$C$13:C176,C177)=0,"",_xlfn.MAXIFS($G$13:G176,$C$13:C176,C177)))</f>
        <v/>
      </c>
      <c r="K177" s="11" t="str">
        <f aca="false">IF(OR(G177="",J177=""),"",IF(G177&lt;0.95*J177,"Below trend","OK"))</f>
        <v/>
      </c>
    </row>
    <row r="178" customFormat="false" ht="15" hidden="false" customHeight="false" outlineLevel="0" collapsed="false">
      <c r="A178" s="51"/>
      <c r="B178" s="11" t="str">
        <f aca="false">IF(A178="","",INT((A178-'Start here'!$C$5)/7)+1)</f>
        <v/>
      </c>
      <c r="C178" s="20"/>
      <c r="D178" s="20"/>
      <c r="E178" s="20"/>
      <c r="F178" s="20"/>
      <c r="G178" s="11" t="str">
        <f aca="false">IF(OR(D178="",E178=""),"",IF(E178+10-IF(F178="",10,F178)&lt;=1,D178,ROUND(D178*(1+(E178+10-IF(F178="",10,F178))/30),1)))</f>
        <v/>
      </c>
      <c r="H178" s="20"/>
      <c r="I178" s="20"/>
      <c r="J178" s="11" t="str">
        <f aca="false">IF(OR(C178="",G178=""),"",IF(_xlfn.MAXIFS($G$13:G177,$C$13:C177,C178)=0,"",_xlfn.MAXIFS($G$13:G177,$C$13:C177,C178)))</f>
        <v/>
      </c>
      <c r="K178" s="11" t="str">
        <f aca="false">IF(OR(G178="",J178=""),"",IF(G178&lt;0.95*J178,"Below trend","OK"))</f>
        <v/>
      </c>
    </row>
    <row r="179" customFormat="false" ht="15" hidden="false" customHeight="false" outlineLevel="0" collapsed="false">
      <c r="A179" s="51"/>
      <c r="B179" s="11" t="str">
        <f aca="false">IF(A179="","",INT((A179-'Start here'!$C$5)/7)+1)</f>
        <v/>
      </c>
      <c r="C179" s="20"/>
      <c r="D179" s="20"/>
      <c r="E179" s="20"/>
      <c r="F179" s="20"/>
      <c r="G179" s="11" t="str">
        <f aca="false">IF(OR(D179="",E179=""),"",IF(E179+10-IF(F179="",10,F179)&lt;=1,D179,ROUND(D179*(1+(E179+10-IF(F179="",10,F179))/30),1)))</f>
        <v/>
      </c>
      <c r="H179" s="20"/>
      <c r="I179" s="20"/>
      <c r="J179" s="11" t="str">
        <f aca="false">IF(OR(C179="",G179=""),"",IF(_xlfn.MAXIFS($G$13:G178,$C$13:C178,C179)=0,"",_xlfn.MAXIFS($G$13:G178,$C$13:C178,C179)))</f>
        <v/>
      </c>
      <c r="K179" s="11" t="str">
        <f aca="false">IF(OR(G179="",J179=""),"",IF(G179&lt;0.95*J179,"Below trend","OK"))</f>
        <v/>
      </c>
    </row>
    <row r="180" customFormat="false" ht="15" hidden="false" customHeight="false" outlineLevel="0" collapsed="false">
      <c r="A180" s="51"/>
      <c r="B180" s="11" t="str">
        <f aca="false">IF(A180="","",INT((A180-'Start here'!$C$5)/7)+1)</f>
        <v/>
      </c>
      <c r="C180" s="20"/>
      <c r="D180" s="20"/>
      <c r="E180" s="20"/>
      <c r="F180" s="20"/>
      <c r="G180" s="11" t="str">
        <f aca="false">IF(OR(D180="",E180=""),"",IF(E180+10-IF(F180="",10,F180)&lt;=1,D180,ROUND(D180*(1+(E180+10-IF(F180="",10,F180))/30),1)))</f>
        <v/>
      </c>
      <c r="H180" s="20"/>
      <c r="I180" s="20"/>
      <c r="J180" s="11" t="str">
        <f aca="false">IF(OR(C180="",G180=""),"",IF(_xlfn.MAXIFS($G$13:G179,$C$13:C179,C180)=0,"",_xlfn.MAXIFS($G$13:G179,$C$13:C179,C180)))</f>
        <v/>
      </c>
      <c r="K180" s="11" t="str">
        <f aca="false">IF(OR(G180="",J180=""),"",IF(G180&lt;0.95*J180,"Below trend","OK"))</f>
        <v/>
      </c>
    </row>
    <row r="181" customFormat="false" ht="15" hidden="false" customHeight="false" outlineLevel="0" collapsed="false">
      <c r="A181" s="51"/>
      <c r="B181" s="11" t="str">
        <f aca="false">IF(A181="","",INT((A181-'Start here'!$C$5)/7)+1)</f>
        <v/>
      </c>
      <c r="C181" s="20"/>
      <c r="D181" s="20"/>
      <c r="E181" s="20"/>
      <c r="F181" s="20"/>
      <c r="G181" s="11" t="str">
        <f aca="false">IF(OR(D181="",E181=""),"",IF(E181+10-IF(F181="",10,F181)&lt;=1,D181,ROUND(D181*(1+(E181+10-IF(F181="",10,F181))/30),1)))</f>
        <v/>
      </c>
      <c r="H181" s="20"/>
      <c r="I181" s="20"/>
      <c r="J181" s="11" t="str">
        <f aca="false">IF(OR(C181="",G181=""),"",IF(_xlfn.MAXIFS($G$13:G180,$C$13:C180,C181)=0,"",_xlfn.MAXIFS($G$13:G180,$C$13:C180,C181)))</f>
        <v/>
      </c>
      <c r="K181" s="11" t="str">
        <f aca="false">IF(OR(G181="",J181=""),"",IF(G181&lt;0.95*J181,"Below trend","OK"))</f>
        <v/>
      </c>
    </row>
    <row r="182" customFormat="false" ht="15" hidden="false" customHeight="false" outlineLevel="0" collapsed="false">
      <c r="A182" s="51"/>
      <c r="B182" s="11" t="str">
        <f aca="false">IF(A182="","",INT((A182-'Start here'!$C$5)/7)+1)</f>
        <v/>
      </c>
      <c r="C182" s="20"/>
      <c r="D182" s="20"/>
      <c r="E182" s="20"/>
      <c r="F182" s="20"/>
      <c r="G182" s="11" t="str">
        <f aca="false">IF(OR(D182="",E182=""),"",IF(E182+10-IF(F182="",10,F182)&lt;=1,D182,ROUND(D182*(1+(E182+10-IF(F182="",10,F182))/30),1)))</f>
        <v/>
      </c>
      <c r="H182" s="20"/>
      <c r="I182" s="20"/>
      <c r="J182" s="11" t="str">
        <f aca="false">IF(OR(C182="",G182=""),"",IF(_xlfn.MAXIFS($G$13:G181,$C$13:C181,C182)=0,"",_xlfn.MAXIFS($G$13:G181,$C$13:C181,C182)))</f>
        <v/>
      </c>
      <c r="K182" s="11" t="str">
        <f aca="false">IF(OR(G182="",J182=""),"",IF(G182&lt;0.95*J182,"Below trend","OK"))</f>
        <v/>
      </c>
    </row>
    <row r="183" customFormat="false" ht="15" hidden="false" customHeight="false" outlineLevel="0" collapsed="false">
      <c r="A183" s="51"/>
      <c r="B183" s="11" t="str">
        <f aca="false">IF(A183="","",INT((A183-'Start here'!$C$5)/7)+1)</f>
        <v/>
      </c>
      <c r="C183" s="20"/>
      <c r="D183" s="20"/>
      <c r="E183" s="20"/>
      <c r="F183" s="20"/>
      <c r="G183" s="11" t="str">
        <f aca="false">IF(OR(D183="",E183=""),"",IF(E183+10-IF(F183="",10,F183)&lt;=1,D183,ROUND(D183*(1+(E183+10-IF(F183="",10,F183))/30),1)))</f>
        <v/>
      </c>
      <c r="H183" s="20"/>
      <c r="I183" s="20"/>
      <c r="J183" s="11" t="str">
        <f aca="false">IF(OR(C183="",G183=""),"",IF(_xlfn.MAXIFS($G$13:G182,$C$13:C182,C183)=0,"",_xlfn.MAXIFS($G$13:G182,$C$13:C182,C183)))</f>
        <v/>
      </c>
      <c r="K183" s="11" t="str">
        <f aca="false">IF(OR(G183="",J183=""),"",IF(G183&lt;0.95*J183,"Below trend","OK"))</f>
        <v/>
      </c>
    </row>
    <row r="184" customFormat="false" ht="15" hidden="false" customHeight="false" outlineLevel="0" collapsed="false">
      <c r="A184" s="51"/>
      <c r="B184" s="11" t="str">
        <f aca="false">IF(A184="","",INT((A184-'Start here'!$C$5)/7)+1)</f>
        <v/>
      </c>
      <c r="C184" s="20"/>
      <c r="D184" s="20"/>
      <c r="E184" s="20"/>
      <c r="F184" s="20"/>
      <c r="G184" s="11" t="str">
        <f aca="false">IF(OR(D184="",E184=""),"",IF(E184+10-IF(F184="",10,F184)&lt;=1,D184,ROUND(D184*(1+(E184+10-IF(F184="",10,F184))/30),1)))</f>
        <v/>
      </c>
      <c r="H184" s="20"/>
      <c r="I184" s="20"/>
      <c r="J184" s="11" t="str">
        <f aca="false">IF(OR(C184="",G184=""),"",IF(_xlfn.MAXIFS($G$13:G183,$C$13:C183,C184)=0,"",_xlfn.MAXIFS($G$13:G183,$C$13:C183,C184)))</f>
        <v/>
      </c>
      <c r="K184" s="11" t="str">
        <f aca="false">IF(OR(G184="",J184=""),"",IF(G184&lt;0.95*J184,"Below trend","OK"))</f>
        <v/>
      </c>
    </row>
    <row r="185" customFormat="false" ht="15" hidden="false" customHeight="false" outlineLevel="0" collapsed="false">
      <c r="A185" s="51"/>
      <c r="B185" s="11" t="str">
        <f aca="false">IF(A185="","",INT((A185-'Start here'!$C$5)/7)+1)</f>
        <v/>
      </c>
      <c r="C185" s="20"/>
      <c r="D185" s="20"/>
      <c r="E185" s="20"/>
      <c r="F185" s="20"/>
      <c r="G185" s="11" t="str">
        <f aca="false">IF(OR(D185="",E185=""),"",IF(E185+10-IF(F185="",10,F185)&lt;=1,D185,ROUND(D185*(1+(E185+10-IF(F185="",10,F185))/30),1)))</f>
        <v/>
      </c>
      <c r="H185" s="20"/>
      <c r="I185" s="20"/>
      <c r="J185" s="11" t="str">
        <f aca="false">IF(OR(C185="",G185=""),"",IF(_xlfn.MAXIFS($G$13:G184,$C$13:C184,C185)=0,"",_xlfn.MAXIFS($G$13:G184,$C$13:C184,C185)))</f>
        <v/>
      </c>
      <c r="K185" s="11" t="str">
        <f aca="false">IF(OR(G185="",J185=""),"",IF(G185&lt;0.95*J185,"Below trend","OK"))</f>
        <v/>
      </c>
    </row>
    <row r="186" customFormat="false" ht="15" hidden="false" customHeight="false" outlineLevel="0" collapsed="false">
      <c r="A186" s="51"/>
      <c r="B186" s="11" t="str">
        <f aca="false">IF(A186="","",INT((A186-'Start here'!$C$5)/7)+1)</f>
        <v/>
      </c>
      <c r="C186" s="20"/>
      <c r="D186" s="20"/>
      <c r="E186" s="20"/>
      <c r="F186" s="20"/>
      <c r="G186" s="11" t="str">
        <f aca="false">IF(OR(D186="",E186=""),"",IF(E186+10-IF(F186="",10,F186)&lt;=1,D186,ROUND(D186*(1+(E186+10-IF(F186="",10,F186))/30),1)))</f>
        <v/>
      </c>
      <c r="H186" s="20"/>
      <c r="I186" s="20"/>
      <c r="J186" s="11" t="str">
        <f aca="false">IF(OR(C186="",G186=""),"",IF(_xlfn.MAXIFS($G$13:G185,$C$13:C185,C186)=0,"",_xlfn.MAXIFS($G$13:G185,$C$13:C185,C186)))</f>
        <v/>
      </c>
      <c r="K186" s="11" t="str">
        <f aca="false">IF(OR(G186="",J186=""),"",IF(G186&lt;0.95*J186,"Below trend","OK"))</f>
        <v/>
      </c>
    </row>
    <row r="187" customFormat="false" ht="15" hidden="false" customHeight="false" outlineLevel="0" collapsed="false">
      <c r="A187" s="51"/>
      <c r="B187" s="11" t="str">
        <f aca="false">IF(A187="","",INT((A187-'Start here'!$C$5)/7)+1)</f>
        <v/>
      </c>
      <c r="C187" s="20"/>
      <c r="D187" s="20"/>
      <c r="E187" s="20"/>
      <c r="F187" s="20"/>
      <c r="G187" s="11" t="str">
        <f aca="false">IF(OR(D187="",E187=""),"",IF(E187+10-IF(F187="",10,F187)&lt;=1,D187,ROUND(D187*(1+(E187+10-IF(F187="",10,F187))/30),1)))</f>
        <v/>
      </c>
      <c r="H187" s="20"/>
      <c r="I187" s="20"/>
      <c r="J187" s="11" t="str">
        <f aca="false">IF(OR(C187="",G187=""),"",IF(_xlfn.MAXIFS($G$13:G186,$C$13:C186,C187)=0,"",_xlfn.MAXIFS($G$13:G186,$C$13:C186,C187)))</f>
        <v/>
      </c>
      <c r="K187" s="11" t="str">
        <f aca="false">IF(OR(G187="",J187=""),"",IF(G187&lt;0.95*J187,"Below trend","OK"))</f>
        <v/>
      </c>
    </row>
    <row r="188" customFormat="false" ht="15" hidden="false" customHeight="false" outlineLevel="0" collapsed="false">
      <c r="A188" s="51"/>
      <c r="B188" s="11" t="str">
        <f aca="false">IF(A188="","",INT((A188-'Start here'!$C$5)/7)+1)</f>
        <v/>
      </c>
      <c r="C188" s="20"/>
      <c r="D188" s="20"/>
      <c r="E188" s="20"/>
      <c r="F188" s="20"/>
      <c r="G188" s="11" t="str">
        <f aca="false">IF(OR(D188="",E188=""),"",IF(E188+10-IF(F188="",10,F188)&lt;=1,D188,ROUND(D188*(1+(E188+10-IF(F188="",10,F188))/30),1)))</f>
        <v/>
      </c>
      <c r="H188" s="20"/>
      <c r="I188" s="20"/>
      <c r="J188" s="11" t="str">
        <f aca="false">IF(OR(C188="",G188=""),"",IF(_xlfn.MAXIFS($G$13:G187,$C$13:C187,C188)=0,"",_xlfn.MAXIFS($G$13:G187,$C$13:C187,C188)))</f>
        <v/>
      </c>
      <c r="K188" s="11" t="str">
        <f aca="false">IF(OR(G188="",J188=""),"",IF(G188&lt;0.95*J188,"Below trend","OK"))</f>
        <v/>
      </c>
    </row>
    <row r="189" customFormat="false" ht="15" hidden="false" customHeight="false" outlineLevel="0" collapsed="false">
      <c r="A189" s="51"/>
      <c r="B189" s="11" t="str">
        <f aca="false">IF(A189="","",INT((A189-'Start here'!$C$5)/7)+1)</f>
        <v/>
      </c>
      <c r="C189" s="20"/>
      <c r="D189" s="20"/>
      <c r="E189" s="20"/>
      <c r="F189" s="20"/>
      <c r="G189" s="11" t="str">
        <f aca="false">IF(OR(D189="",E189=""),"",IF(E189+10-IF(F189="",10,F189)&lt;=1,D189,ROUND(D189*(1+(E189+10-IF(F189="",10,F189))/30),1)))</f>
        <v/>
      </c>
      <c r="H189" s="20"/>
      <c r="I189" s="20"/>
      <c r="J189" s="11" t="str">
        <f aca="false">IF(OR(C189="",G189=""),"",IF(_xlfn.MAXIFS($G$13:G188,$C$13:C188,C189)=0,"",_xlfn.MAXIFS($G$13:G188,$C$13:C188,C189)))</f>
        <v/>
      </c>
      <c r="K189" s="11" t="str">
        <f aca="false">IF(OR(G189="",J189=""),"",IF(G189&lt;0.95*J189,"Below trend","OK"))</f>
        <v/>
      </c>
    </row>
    <row r="190" customFormat="false" ht="15" hidden="false" customHeight="false" outlineLevel="0" collapsed="false">
      <c r="A190" s="51"/>
      <c r="B190" s="11" t="str">
        <f aca="false">IF(A190="","",INT((A190-'Start here'!$C$5)/7)+1)</f>
        <v/>
      </c>
      <c r="C190" s="20"/>
      <c r="D190" s="20"/>
      <c r="E190" s="20"/>
      <c r="F190" s="20"/>
      <c r="G190" s="11" t="str">
        <f aca="false">IF(OR(D190="",E190=""),"",IF(E190+10-IF(F190="",10,F190)&lt;=1,D190,ROUND(D190*(1+(E190+10-IF(F190="",10,F190))/30),1)))</f>
        <v/>
      </c>
      <c r="H190" s="20"/>
      <c r="I190" s="20"/>
      <c r="J190" s="11" t="str">
        <f aca="false">IF(OR(C190="",G190=""),"",IF(_xlfn.MAXIFS($G$13:G189,$C$13:C189,C190)=0,"",_xlfn.MAXIFS($G$13:G189,$C$13:C189,C190)))</f>
        <v/>
      </c>
      <c r="K190" s="11" t="str">
        <f aca="false">IF(OR(G190="",J190=""),"",IF(G190&lt;0.95*J190,"Below trend","OK"))</f>
        <v/>
      </c>
    </row>
    <row r="191" customFormat="false" ht="15" hidden="false" customHeight="false" outlineLevel="0" collapsed="false">
      <c r="A191" s="51"/>
      <c r="B191" s="11" t="str">
        <f aca="false">IF(A191="","",INT((A191-'Start here'!$C$5)/7)+1)</f>
        <v/>
      </c>
      <c r="C191" s="20"/>
      <c r="D191" s="20"/>
      <c r="E191" s="20"/>
      <c r="F191" s="20"/>
      <c r="G191" s="11" t="str">
        <f aca="false">IF(OR(D191="",E191=""),"",IF(E191+10-IF(F191="",10,F191)&lt;=1,D191,ROUND(D191*(1+(E191+10-IF(F191="",10,F191))/30),1)))</f>
        <v/>
      </c>
      <c r="H191" s="20"/>
      <c r="I191" s="20"/>
      <c r="J191" s="11" t="str">
        <f aca="false">IF(OR(C191="",G191=""),"",IF(_xlfn.MAXIFS($G$13:G190,$C$13:C190,C191)=0,"",_xlfn.MAXIFS($G$13:G190,$C$13:C190,C191)))</f>
        <v/>
      </c>
      <c r="K191" s="11" t="str">
        <f aca="false">IF(OR(G191="",J191=""),"",IF(G191&lt;0.95*J191,"Below trend","OK"))</f>
        <v/>
      </c>
    </row>
    <row r="192" customFormat="false" ht="15" hidden="false" customHeight="false" outlineLevel="0" collapsed="false">
      <c r="A192" s="51"/>
      <c r="B192" s="11" t="str">
        <f aca="false">IF(A192="","",INT((A192-'Start here'!$C$5)/7)+1)</f>
        <v/>
      </c>
      <c r="C192" s="20"/>
      <c r="D192" s="20"/>
      <c r="E192" s="20"/>
      <c r="F192" s="20"/>
      <c r="G192" s="11" t="str">
        <f aca="false">IF(OR(D192="",E192=""),"",IF(E192+10-IF(F192="",10,F192)&lt;=1,D192,ROUND(D192*(1+(E192+10-IF(F192="",10,F192))/30),1)))</f>
        <v/>
      </c>
      <c r="H192" s="20"/>
      <c r="I192" s="20"/>
      <c r="J192" s="11" t="str">
        <f aca="false">IF(OR(C192="",G192=""),"",IF(_xlfn.MAXIFS($G$13:G191,$C$13:C191,C192)=0,"",_xlfn.MAXIFS($G$13:G191,$C$13:C191,C192)))</f>
        <v/>
      </c>
      <c r="K192" s="11" t="str">
        <f aca="false">IF(OR(G192="",J192=""),"",IF(G192&lt;0.95*J192,"Below trend","OK"))</f>
        <v/>
      </c>
    </row>
    <row r="193" customFormat="false" ht="15" hidden="false" customHeight="false" outlineLevel="0" collapsed="false">
      <c r="A193" s="51"/>
      <c r="B193" s="11" t="str">
        <f aca="false">IF(A193="","",INT((A193-'Start here'!$C$5)/7)+1)</f>
        <v/>
      </c>
      <c r="C193" s="20"/>
      <c r="D193" s="20"/>
      <c r="E193" s="20"/>
      <c r="F193" s="20"/>
      <c r="G193" s="11" t="str">
        <f aca="false">IF(OR(D193="",E193=""),"",IF(E193+10-IF(F193="",10,F193)&lt;=1,D193,ROUND(D193*(1+(E193+10-IF(F193="",10,F193))/30),1)))</f>
        <v/>
      </c>
      <c r="H193" s="20"/>
      <c r="I193" s="20"/>
      <c r="J193" s="11" t="str">
        <f aca="false">IF(OR(C193="",G193=""),"",IF(_xlfn.MAXIFS($G$13:G192,$C$13:C192,C193)=0,"",_xlfn.MAXIFS($G$13:G192,$C$13:C192,C193)))</f>
        <v/>
      </c>
      <c r="K193" s="11" t="str">
        <f aca="false">IF(OR(G193="",J193=""),"",IF(G193&lt;0.95*J193,"Below trend","OK"))</f>
        <v/>
      </c>
    </row>
    <row r="194" customFormat="false" ht="15" hidden="false" customHeight="false" outlineLevel="0" collapsed="false">
      <c r="A194" s="51"/>
      <c r="B194" s="11" t="str">
        <f aca="false">IF(A194="","",INT((A194-'Start here'!$C$5)/7)+1)</f>
        <v/>
      </c>
      <c r="C194" s="20"/>
      <c r="D194" s="20"/>
      <c r="E194" s="20"/>
      <c r="F194" s="20"/>
      <c r="G194" s="11" t="str">
        <f aca="false">IF(OR(D194="",E194=""),"",IF(E194+10-IF(F194="",10,F194)&lt;=1,D194,ROUND(D194*(1+(E194+10-IF(F194="",10,F194))/30),1)))</f>
        <v/>
      </c>
      <c r="H194" s="20"/>
      <c r="I194" s="20"/>
      <c r="J194" s="11" t="str">
        <f aca="false">IF(OR(C194="",G194=""),"",IF(_xlfn.MAXIFS($G$13:G193,$C$13:C193,C194)=0,"",_xlfn.MAXIFS($G$13:G193,$C$13:C193,C194)))</f>
        <v/>
      </c>
      <c r="K194" s="11" t="str">
        <f aca="false">IF(OR(G194="",J194=""),"",IF(G194&lt;0.95*J194,"Below trend","OK"))</f>
        <v/>
      </c>
    </row>
    <row r="195" customFormat="false" ht="15" hidden="false" customHeight="false" outlineLevel="0" collapsed="false">
      <c r="A195" s="51"/>
      <c r="B195" s="11" t="str">
        <f aca="false">IF(A195="","",INT((A195-'Start here'!$C$5)/7)+1)</f>
        <v/>
      </c>
      <c r="C195" s="20"/>
      <c r="D195" s="20"/>
      <c r="E195" s="20"/>
      <c r="F195" s="20"/>
      <c r="G195" s="11" t="str">
        <f aca="false">IF(OR(D195="",E195=""),"",IF(E195+10-IF(F195="",10,F195)&lt;=1,D195,ROUND(D195*(1+(E195+10-IF(F195="",10,F195))/30),1)))</f>
        <v/>
      </c>
      <c r="H195" s="20"/>
      <c r="I195" s="20"/>
      <c r="J195" s="11" t="str">
        <f aca="false">IF(OR(C195="",G195=""),"",IF(_xlfn.MAXIFS($G$13:G194,$C$13:C194,C195)=0,"",_xlfn.MAXIFS($G$13:G194,$C$13:C194,C195)))</f>
        <v/>
      </c>
      <c r="K195" s="11" t="str">
        <f aca="false">IF(OR(G195="",J195=""),"",IF(G195&lt;0.95*J195,"Below trend","OK"))</f>
        <v/>
      </c>
    </row>
    <row r="196" customFormat="false" ht="15" hidden="false" customHeight="false" outlineLevel="0" collapsed="false">
      <c r="A196" s="51"/>
      <c r="B196" s="11" t="str">
        <f aca="false">IF(A196="","",INT((A196-'Start here'!$C$5)/7)+1)</f>
        <v/>
      </c>
      <c r="C196" s="20"/>
      <c r="D196" s="20"/>
      <c r="E196" s="20"/>
      <c r="F196" s="20"/>
      <c r="G196" s="11" t="str">
        <f aca="false">IF(OR(D196="",E196=""),"",IF(E196+10-IF(F196="",10,F196)&lt;=1,D196,ROUND(D196*(1+(E196+10-IF(F196="",10,F196))/30),1)))</f>
        <v/>
      </c>
      <c r="H196" s="20"/>
      <c r="I196" s="20"/>
      <c r="J196" s="11" t="str">
        <f aca="false">IF(OR(C196="",G196=""),"",IF(_xlfn.MAXIFS($G$13:G195,$C$13:C195,C196)=0,"",_xlfn.MAXIFS($G$13:G195,$C$13:C195,C196)))</f>
        <v/>
      </c>
      <c r="K196" s="11" t="str">
        <f aca="false">IF(OR(G196="",J196=""),"",IF(G196&lt;0.95*J196,"Below trend","OK"))</f>
        <v/>
      </c>
    </row>
    <row r="197" customFormat="false" ht="15" hidden="false" customHeight="false" outlineLevel="0" collapsed="false">
      <c r="A197" s="51"/>
      <c r="B197" s="11" t="str">
        <f aca="false">IF(A197="","",INT((A197-'Start here'!$C$5)/7)+1)</f>
        <v/>
      </c>
      <c r="C197" s="20"/>
      <c r="D197" s="20"/>
      <c r="E197" s="20"/>
      <c r="F197" s="20"/>
      <c r="G197" s="11" t="str">
        <f aca="false">IF(OR(D197="",E197=""),"",IF(E197+10-IF(F197="",10,F197)&lt;=1,D197,ROUND(D197*(1+(E197+10-IF(F197="",10,F197))/30),1)))</f>
        <v/>
      </c>
      <c r="H197" s="20"/>
      <c r="I197" s="20"/>
      <c r="J197" s="11" t="str">
        <f aca="false">IF(OR(C197="",G197=""),"",IF(_xlfn.MAXIFS($G$13:G196,$C$13:C196,C197)=0,"",_xlfn.MAXIFS($G$13:G196,$C$13:C196,C197)))</f>
        <v/>
      </c>
      <c r="K197" s="11" t="str">
        <f aca="false">IF(OR(G197="",J197=""),"",IF(G197&lt;0.95*J197,"Below trend","OK"))</f>
        <v/>
      </c>
    </row>
    <row r="198" customFormat="false" ht="15" hidden="false" customHeight="false" outlineLevel="0" collapsed="false">
      <c r="A198" s="51"/>
      <c r="B198" s="11" t="str">
        <f aca="false">IF(A198="","",INT((A198-'Start here'!$C$5)/7)+1)</f>
        <v/>
      </c>
      <c r="C198" s="20"/>
      <c r="D198" s="20"/>
      <c r="E198" s="20"/>
      <c r="F198" s="20"/>
      <c r="G198" s="11" t="str">
        <f aca="false">IF(OR(D198="",E198=""),"",IF(E198+10-IF(F198="",10,F198)&lt;=1,D198,ROUND(D198*(1+(E198+10-IF(F198="",10,F198))/30),1)))</f>
        <v/>
      </c>
      <c r="H198" s="20"/>
      <c r="I198" s="20"/>
      <c r="J198" s="11" t="str">
        <f aca="false">IF(OR(C198="",G198=""),"",IF(_xlfn.MAXIFS($G$13:G197,$C$13:C197,C198)=0,"",_xlfn.MAXIFS($G$13:G197,$C$13:C197,C198)))</f>
        <v/>
      </c>
      <c r="K198" s="11" t="str">
        <f aca="false">IF(OR(G198="",J198=""),"",IF(G198&lt;0.95*J198,"Below trend","OK"))</f>
        <v/>
      </c>
    </row>
    <row r="199" customFormat="false" ht="15" hidden="false" customHeight="false" outlineLevel="0" collapsed="false">
      <c r="A199" s="51"/>
      <c r="B199" s="11" t="str">
        <f aca="false">IF(A199="","",INT((A199-'Start here'!$C$5)/7)+1)</f>
        <v/>
      </c>
      <c r="C199" s="20"/>
      <c r="D199" s="20"/>
      <c r="E199" s="20"/>
      <c r="F199" s="20"/>
      <c r="G199" s="11" t="str">
        <f aca="false">IF(OR(D199="",E199=""),"",IF(E199+10-IF(F199="",10,F199)&lt;=1,D199,ROUND(D199*(1+(E199+10-IF(F199="",10,F199))/30),1)))</f>
        <v/>
      </c>
      <c r="H199" s="20"/>
      <c r="I199" s="20"/>
      <c r="J199" s="11" t="str">
        <f aca="false">IF(OR(C199="",G199=""),"",IF(_xlfn.MAXIFS($G$13:G198,$C$13:C198,C199)=0,"",_xlfn.MAXIFS($G$13:G198,$C$13:C198,C199)))</f>
        <v/>
      </c>
      <c r="K199" s="11" t="str">
        <f aca="false">IF(OR(G199="",J199=""),"",IF(G199&lt;0.95*J199,"Below trend","OK"))</f>
        <v/>
      </c>
    </row>
    <row r="200" customFormat="false" ht="15" hidden="false" customHeight="false" outlineLevel="0" collapsed="false">
      <c r="A200" s="51"/>
      <c r="B200" s="11" t="str">
        <f aca="false">IF(A200="","",INT((A200-'Start here'!$C$5)/7)+1)</f>
        <v/>
      </c>
      <c r="C200" s="20"/>
      <c r="D200" s="20"/>
      <c r="E200" s="20"/>
      <c r="F200" s="20"/>
      <c r="G200" s="11" t="str">
        <f aca="false">IF(OR(D200="",E200=""),"",IF(E200+10-IF(F200="",10,F200)&lt;=1,D200,ROUND(D200*(1+(E200+10-IF(F200="",10,F200))/30),1)))</f>
        <v/>
      </c>
      <c r="H200" s="20"/>
      <c r="I200" s="20"/>
      <c r="J200" s="11" t="str">
        <f aca="false">IF(OR(C200="",G200=""),"",IF(_xlfn.MAXIFS($G$13:G199,$C$13:C199,C200)=0,"",_xlfn.MAXIFS($G$13:G199,$C$13:C199,C200)))</f>
        <v/>
      </c>
      <c r="K200" s="11" t="str">
        <f aca="false">IF(OR(G200="",J200=""),"",IF(G200&lt;0.95*J200,"Below trend","OK"))</f>
        <v/>
      </c>
    </row>
    <row r="201" customFormat="false" ht="15" hidden="false" customHeight="false" outlineLevel="0" collapsed="false">
      <c r="A201" s="51"/>
      <c r="B201" s="11" t="str">
        <f aca="false">IF(A201="","",INT((A201-'Start here'!$C$5)/7)+1)</f>
        <v/>
      </c>
      <c r="C201" s="20"/>
      <c r="D201" s="20"/>
      <c r="E201" s="20"/>
      <c r="F201" s="20"/>
      <c r="G201" s="11" t="str">
        <f aca="false">IF(OR(D201="",E201=""),"",IF(E201+10-IF(F201="",10,F201)&lt;=1,D201,ROUND(D201*(1+(E201+10-IF(F201="",10,F201))/30),1)))</f>
        <v/>
      </c>
      <c r="H201" s="20"/>
      <c r="I201" s="20"/>
      <c r="J201" s="11" t="str">
        <f aca="false">IF(OR(C201="",G201=""),"",IF(_xlfn.MAXIFS($G$13:G200,$C$13:C200,C201)=0,"",_xlfn.MAXIFS($G$13:G200,$C$13:C200,C201)))</f>
        <v/>
      </c>
      <c r="K201" s="11" t="str">
        <f aca="false">IF(OR(G201="",J201=""),"",IF(G201&lt;0.95*J201,"Below trend","OK"))</f>
        <v/>
      </c>
    </row>
    <row r="202" customFormat="false" ht="15" hidden="false" customHeight="false" outlineLevel="0" collapsed="false">
      <c r="A202" s="51"/>
      <c r="B202" s="11" t="str">
        <f aca="false">IF(A202="","",INT((A202-'Start here'!$C$5)/7)+1)</f>
        <v/>
      </c>
      <c r="C202" s="20"/>
      <c r="D202" s="20"/>
      <c r="E202" s="20"/>
      <c r="F202" s="20"/>
      <c r="G202" s="11" t="str">
        <f aca="false">IF(OR(D202="",E202=""),"",IF(E202+10-IF(F202="",10,F202)&lt;=1,D202,ROUND(D202*(1+(E202+10-IF(F202="",10,F202))/30),1)))</f>
        <v/>
      </c>
      <c r="H202" s="20"/>
      <c r="I202" s="20"/>
      <c r="J202" s="11" t="str">
        <f aca="false">IF(OR(C202="",G202=""),"",IF(_xlfn.MAXIFS($G$13:G201,$C$13:C201,C202)=0,"",_xlfn.MAXIFS($G$13:G201,$C$13:C201,C202)))</f>
        <v/>
      </c>
      <c r="K202" s="11" t="str">
        <f aca="false">IF(OR(G202="",J202=""),"",IF(G202&lt;0.95*J202,"Below trend","OK"))</f>
        <v/>
      </c>
    </row>
    <row r="203" customFormat="false" ht="15" hidden="false" customHeight="false" outlineLevel="0" collapsed="false">
      <c r="A203" s="51"/>
      <c r="B203" s="11" t="str">
        <f aca="false">IF(A203="","",INT((A203-'Start here'!$C$5)/7)+1)</f>
        <v/>
      </c>
      <c r="C203" s="20"/>
      <c r="D203" s="20"/>
      <c r="E203" s="20"/>
      <c r="F203" s="20"/>
      <c r="G203" s="11" t="str">
        <f aca="false">IF(OR(D203="",E203=""),"",IF(E203+10-IF(F203="",10,F203)&lt;=1,D203,ROUND(D203*(1+(E203+10-IF(F203="",10,F203))/30),1)))</f>
        <v/>
      </c>
      <c r="H203" s="20"/>
      <c r="I203" s="20"/>
      <c r="J203" s="11" t="str">
        <f aca="false">IF(OR(C203="",G203=""),"",IF(_xlfn.MAXIFS($G$13:G202,$C$13:C202,C203)=0,"",_xlfn.MAXIFS($G$13:G202,$C$13:C202,C203)))</f>
        <v/>
      </c>
      <c r="K203" s="11" t="str">
        <f aca="false">IF(OR(G203="",J203=""),"",IF(G203&lt;0.95*J203,"Below trend","OK"))</f>
        <v/>
      </c>
    </row>
    <row r="204" customFormat="false" ht="15" hidden="false" customHeight="false" outlineLevel="0" collapsed="false">
      <c r="A204" s="51"/>
      <c r="B204" s="11" t="str">
        <f aca="false">IF(A204="","",INT((A204-'Start here'!$C$5)/7)+1)</f>
        <v/>
      </c>
      <c r="C204" s="20"/>
      <c r="D204" s="20"/>
      <c r="E204" s="20"/>
      <c r="F204" s="20"/>
      <c r="G204" s="11" t="str">
        <f aca="false">IF(OR(D204="",E204=""),"",IF(E204+10-IF(F204="",10,F204)&lt;=1,D204,ROUND(D204*(1+(E204+10-IF(F204="",10,F204))/30),1)))</f>
        <v/>
      </c>
      <c r="H204" s="20"/>
      <c r="I204" s="20"/>
      <c r="J204" s="11" t="str">
        <f aca="false">IF(OR(C204="",G204=""),"",IF(_xlfn.MAXIFS($G$13:G203,$C$13:C203,C204)=0,"",_xlfn.MAXIFS($G$13:G203,$C$13:C203,C204)))</f>
        <v/>
      </c>
      <c r="K204" s="11" t="str">
        <f aca="false">IF(OR(G204="",J204=""),"",IF(G204&lt;0.95*J204,"Below trend","OK"))</f>
        <v/>
      </c>
    </row>
    <row r="205" customFormat="false" ht="15" hidden="false" customHeight="false" outlineLevel="0" collapsed="false">
      <c r="A205" s="51"/>
      <c r="B205" s="11" t="str">
        <f aca="false">IF(A205="","",INT((A205-'Start here'!$C$5)/7)+1)</f>
        <v/>
      </c>
      <c r="C205" s="20"/>
      <c r="D205" s="20"/>
      <c r="E205" s="20"/>
      <c r="F205" s="20"/>
      <c r="G205" s="11" t="str">
        <f aca="false">IF(OR(D205="",E205=""),"",IF(E205+10-IF(F205="",10,F205)&lt;=1,D205,ROUND(D205*(1+(E205+10-IF(F205="",10,F205))/30),1)))</f>
        <v/>
      </c>
      <c r="H205" s="20"/>
      <c r="I205" s="20"/>
      <c r="J205" s="11" t="str">
        <f aca="false">IF(OR(C205="",G205=""),"",IF(_xlfn.MAXIFS($G$13:G204,$C$13:C204,C205)=0,"",_xlfn.MAXIFS($G$13:G204,$C$13:C204,C205)))</f>
        <v/>
      </c>
      <c r="K205" s="11" t="str">
        <f aca="false">IF(OR(G205="",J205=""),"",IF(G205&lt;0.95*J205,"Below trend","OK"))</f>
        <v/>
      </c>
    </row>
    <row r="206" customFormat="false" ht="15" hidden="false" customHeight="false" outlineLevel="0" collapsed="false">
      <c r="A206" s="51"/>
      <c r="B206" s="11" t="str">
        <f aca="false">IF(A206="","",INT((A206-'Start here'!$C$5)/7)+1)</f>
        <v/>
      </c>
      <c r="C206" s="20"/>
      <c r="D206" s="20"/>
      <c r="E206" s="20"/>
      <c r="F206" s="20"/>
      <c r="G206" s="11" t="str">
        <f aca="false">IF(OR(D206="",E206=""),"",IF(E206+10-IF(F206="",10,F206)&lt;=1,D206,ROUND(D206*(1+(E206+10-IF(F206="",10,F206))/30),1)))</f>
        <v/>
      </c>
      <c r="H206" s="20"/>
      <c r="I206" s="20"/>
      <c r="J206" s="11" t="str">
        <f aca="false">IF(OR(C206="",G206=""),"",IF(_xlfn.MAXIFS($G$13:G205,$C$13:C205,C206)=0,"",_xlfn.MAXIFS($G$13:G205,$C$13:C205,C206)))</f>
        <v/>
      </c>
      <c r="K206" s="11" t="str">
        <f aca="false">IF(OR(G206="",J206=""),"",IF(G206&lt;0.95*J206,"Below trend","OK"))</f>
        <v/>
      </c>
    </row>
    <row r="207" customFormat="false" ht="15" hidden="false" customHeight="false" outlineLevel="0" collapsed="false">
      <c r="A207" s="51"/>
      <c r="B207" s="11" t="str">
        <f aca="false">IF(A207="","",INT((A207-'Start here'!$C$5)/7)+1)</f>
        <v/>
      </c>
      <c r="C207" s="20"/>
      <c r="D207" s="20"/>
      <c r="E207" s="20"/>
      <c r="F207" s="20"/>
      <c r="G207" s="11" t="str">
        <f aca="false">IF(OR(D207="",E207=""),"",IF(E207+10-IF(F207="",10,F207)&lt;=1,D207,ROUND(D207*(1+(E207+10-IF(F207="",10,F207))/30),1)))</f>
        <v/>
      </c>
      <c r="H207" s="20"/>
      <c r="I207" s="20"/>
      <c r="J207" s="11" t="str">
        <f aca="false">IF(OR(C207="",G207=""),"",IF(_xlfn.MAXIFS($G$13:G206,$C$13:C206,C207)=0,"",_xlfn.MAXIFS($G$13:G206,$C$13:C206,C207)))</f>
        <v/>
      </c>
      <c r="K207" s="11" t="str">
        <f aca="false">IF(OR(G207="",J207=""),"",IF(G207&lt;0.95*J207,"Below trend","OK"))</f>
        <v/>
      </c>
    </row>
    <row r="208" customFormat="false" ht="15" hidden="false" customHeight="false" outlineLevel="0" collapsed="false">
      <c r="A208" s="51"/>
      <c r="B208" s="11" t="str">
        <f aca="false">IF(A208="","",INT((A208-'Start here'!$C$5)/7)+1)</f>
        <v/>
      </c>
      <c r="C208" s="20"/>
      <c r="D208" s="20"/>
      <c r="E208" s="20"/>
      <c r="F208" s="20"/>
      <c r="G208" s="11" t="str">
        <f aca="false">IF(OR(D208="",E208=""),"",IF(E208+10-IF(F208="",10,F208)&lt;=1,D208,ROUND(D208*(1+(E208+10-IF(F208="",10,F208))/30),1)))</f>
        <v/>
      </c>
      <c r="H208" s="20"/>
      <c r="I208" s="20"/>
      <c r="J208" s="11" t="str">
        <f aca="false">IF(OR(C208="",G208=""),"",IF(_xlfn.MAXIFS($G$13:G207,$C$13:C207,C208)=0,"",_xlfn.MAXIFS($G$13:G207,$C$13:C207,C208)))</f>
        <v/>
      </c>
      <c r="K208" s="11" t="str">
        <f aca="false">IF(OR(G208="",J208=""),"",IF(G208&lt;0.95*J208,"Below trend","OK"))</f>
        <v/>
      </c>
    </row>
    <row r="209" customFormat="false" ht="15" hidden="false" customHeight="false" outlineLevel="0" collapsed="false">
      <c r="A209" s="51"/>
      <c r="B209" s="11" t="str">
        <f aca="false">IF(A209="","",INT((A209-'Start here'!$C$5)/7)+1)</f>
        <v/>
      </c>
      <c r="C209" s="20"/>
      <c r="D209" s="20"/>
      <c r="E209" s="20"/>
      <c r="F209" s="20"/>
      <c r="G209" s="11" t="str">
        <f aca="false">IF(OR(D209="",E209=""),"",IF(E209+10-IF(F209="",10,F209)&lt;=1,D209,ROUND(D209*(1+(E209+10-IF(F209="",10,F209))/30),1)))</f>
        <v/>
      </c>
      <c r="H209" s="20"/>
      <c r="I209" s="20"/>
      <c r="J209" s="11" t="str">
        <f aca="false">IF(OR(C209="",G209=""),"",IF(_xlfn.MAXIFS($G$13:G208,$C$13:C208,C209)=0,"",_xlfn.MAXIFS($G$13:G208,$C$13:C208,C209)))</f>
        <v/>
      </c>
      <c r="K209" s="11" t="str">
        <f aca="false">IF(OR(G209="",J209=""),"",IF(G209&lt;0.95*J209,"Below trend","OK"))</f>
        <v/>
      </c>
    </row>
    <row r="210" customFormat="false" ht="15" hidden="false" customHeight="false" outlineLevel="0" collapsed="false">
      <c r="A210" s="51"/>
      <c r="B210" s="11" t="str">
        <f aca="false">IF(A210="","",INT((A210-'Start here'!$C$5)/7)+1)</f>
        <v/>
      </c>
      <c r="C210" s="20"/>
      <c r="D210" s="20"/>
      <c r="E210" s="20"/>
      <c r="F210" s="20"/>
      <c r="G210" s="11" t="str">
        <f aca="false">IF(OR(D210="",E210=""),"",IF(E210+10-IF(F210="",10,F210)&lt;=1,D210,ROUND(D210*(1+(E210+10-IF(F210="",10,F210))/30),1)))</f>
        <v/>
      </c>
      <c r="H210" s="20"/>
      <c r="I210" s="20"/>
      <c r="J210" s="11" t="str">
        <f aca="false">IF(OR(C210="",G210=""),"",IF(_xlfn.MAXIFS($G$13:G209,$C$13:C209,C210)=0,"",_xlfn.MAXIFS($G$13:G209,$C$13:C209,C210)))</f>
        <v/>
      </c>
      <c r="K210" s="11" t="str">
        <f aca="false">IF(OR(G210="",J210=""),"",IF(G210&lt;0.95*J210,"Below trend","OK"))</f>
        <v/>
      </c>
    </row>
    <row r="211" customFormat="false" ht="15" hidden="false" customHeight="false" outlineLevel="0" collapsed="false">
      <c r="A211" s="51"/>
      <c r="B211" s="11" t="str">
        <f aca="false">IF(A211="","",INT((A211-'Start here'!$C$5)/7)+1)</f>
        <v/>
      </c>
      <c r="C211" s="20"/>
      <c r="D211" s="20"/>
      <c r="E211" s="20"/>
      <c r="F211" s="20"/>
      <c r="G211" s="11" t="str">
        <f aca="false">IF(OR(D211="",E211=""),"",IF(E211+10-IF(F211="",10,F211)&lt;=1,D211,ROUND(D211*(1+(E211+10-IF(F211="",10,F211))/30),1)))</f>
        <v/>
      </c>
      <c r="H211" s="20"/>
      <c r="I211" s="20"/>
      <c r="J211" s="11" t="str">
        <f aca="false">IF(OR(C211="",G211=""),"",IF(_xlfn.MAXIFS($G$13:G210,$C$13:C210,C211)=0,"",_xlfn.MAXIFS($G$13:G210,$C$13:C210,C211)))</f>
        <v/>
      </c>
      <c r="K211" s="11" t="str">
        <f aca="false">IF(OR(G211="",J211=""),"",IF(G211&lt;0.95*J211,"Below trend","OK"))</f>
        <v/>
      </c>
    </row>
    <row r="212" customFormat="false" ht="15" hidden="false" customHeight="false" outlineLevel="0" collapsed="false">
      <c r="A212" s="51"/>
      <c r="B212" s="11" t="str">
        <f aca="false">IF(A212="","",INT((A212-'Start here'!$C$5)/7)+1)</f>
        <v/>
      </c>
      <c r="C212" s="20"/>
      <c r="D212" s="20"/>
      <c r="E212" s="20"/>
      <c r="F212" s="20"/>
      <c r="G212" s="11" t="str">
        <f aca="false">IF(OR(D212="",E212=""),"",IF(E212+10-IF(F212="",10,F212)&lt;=1,D212,ROUND(D212*(1+(E212+10-IF(F212="",10,F212))/30),1)))</f>
        <v/>
      </c>
      <c r="H212" s="20"/>
      <c r="I212" s="20"/>
      <c r="J212" s="11" t="str">
        <f aca="false">IF(OR(C212="",G212=""),"",IF(_xlfn.MAXIFS($G$13:G211,$C$13:C211,C212)=0,"",_xlfn.MAXIFS($G$13:G211,$C$13:C211,C212)))</f>
        <v/>
      </c>
      <c r="K212" s="11" t="str">
        <f aca="false">IF(OR(G212="",J212=""),"",IF(G212&lt;0.95*J212,"Below trend","OK"))</f>
        <v/>
      </c>
    </row>
    <row r="213" customFormat="false" ht="15" hidden="false" customHeight="false" outlineLevel="0" collapsed="false">
      <c r="A213" s="51"/>
      <c r="B213" s="11" t="str">
        <f aca="false">IF(A213="","",INT((A213-'Start here'!$C$5)/7)+1)</f>
        <v/>
      </c>
      <c r="C213" s="20"/>
      <c r="D213" s="20"/>
      <c r="E213" s="20"/>
      <c r="F213" s="20"/>
      <c r="G213" s="11" t="str">
        <f aca="false">IF(OR(D213="",E213=""),"",IF(E213+10-IF(F213="",10,F213)&lt;=1,D213,ROUND(D213*(1+(E213+10-IF(F213="",10,F213))/30),1)))</f>
        <v/>
      </c>
      <c r="H213" s="20"/>
      <c r="I213" s="20"/>
      <c r="J213" s="11" t="str">
        <f aca="false">IF(OR(C213="",G213=""),"",IF(_xlfn.MAXIFS($G$13:G212,$C$13:C212,C213)=0,"",_xlfn.MAXIFS($G$13:G212,$C$13:C212,C213)))</f>
        <v/>
      </c>
      <c r="K213" s="11" t="str">
        <f aca="false">IF(OR(G213="",J213=""),"",IF(G213&lt;0.95*J213,"Below trend","OK"))</f>
        <v/>
      </c>
    </row>
    <row r="214" customFormat="false" ht="15" hidden="false" customHeight="false" outlineLevel="0" collapsed="false">
      <c r="A214" s="51"/>
      <c r="B214" s="11" t="str">
        <f aca="false">IF(A214="","",INT((A214-'Start here'!$C$5)/7)+1)</f>
        <v/>
      </c>
      <c r="C214" s="20"/>
      <c r="D214" s="20"/>
      <c r="E214" s="20"/>
      <c r="F214" s="20"/>
      <c r="G214" s="11" t="str">
        <f aca="false">IF(OR(D214="",E214=""),"",IF(E214+10-IF(F214="",10,F214)&lt;=1,D214,ROUND(D214*(1+(E214+10-IF(F214="",10,F214))/30),1)))</f>
        <v/>
      </c>
      <c r="H214" s="20"/>
      <c r="I214" s="20"/>
      <c r="J214" s="11" t="str">
        <f aca="false">IF(OR(C214="",G214=""),"",IF(_xlfn.MAXIFS($G$13:G213,$C$13:C213,C214)=0,"",_xlfn.MAXIFS($G$13:G213,$C$13:C213,C214)))</f>
        <v/>
      </c>
      <c r="K214" s="11" t="str">
        <f aca="false">IF(OR(G214="",J214=""),"",IF(G214&lt;0.95*J214,"Below trend","OK"))</f>
        <v/>
      </c>
    </row>
    <row r="215" customFormat="false" ht="15" hidden="false" customHeight="false" outlineLevel="0" collapsed="false">
      <c r="A215" s="51"/>
      <c r="B215" s="11" t="str">
        <f aca="false">IF(A215="","",INT((A215-'Start here'!$C$5)/7)+1)</f>
        <v/>
      </c>
      <c r="C215" s="20"/>
      <c r="D215" s="20"/>
      <c r="E215" s="20"/>
      <c r="F215" s="20"/>
      <c r="G215" s="11" t="str">
        <f aca="false">IF(OR(D215="",E215=""),"",IF(E215+10-IF(F215="",10,F215)&lt;=1,D215,ROUND(D215*(1+(E215+10-IF(F215="",10,F215))/30),1)))</f>
        <v/>
      </c>
      <c r="H215" s="20"/>
      <c r="I215" s="20"/>
      <c r="J215" s="11" t="str">
        <f aca="false">IF(OR(C215="",G215=""),"",IF(_xlfn.MAXIFS($G$13:G214,$C$13:C214,C215)=0,"",_xlfn.MAXIFS($G$13:G214,$C$13:C214,C215)))</f>
        <v/>
      </c>
      <c r="K215" s="11" t="str">
        <f aca="false">IF(OR(G215="",J215=""),"",IF(G215&lt;0.95*J215,"Below trend","OK"))</f>
        <v/>
      </c>
    </row>
    <row r="216" customFormat="false" ht="15" hidden="false" customHeight="false" outlineLevel="0" collapsed="false">
      <c r="A216" s="51"/>
      <c r="B216" s="11" t="str">
        <f aca="false">IF(A216="","",INT((A216-'Start here'!$C$5)/7)+1)</f>
        <v/>
      </c>
      <c r="C216" s="20"/>
      <c r="D216" s="20"/>
      <c r="E216" s="20"/>
      <c r="F216" s="20"/>
      <c r="G216" s="11" t="str">
        <f aca="false">IF(OR(D216="",E216=""),"",IF(E216+10-IF(F216="",10,F216)&lt;=1,D216,ROUND(D216*(1+(E216+10-IF(F216="",10,F216))/30),1)))</f>
        <v/>
      </c>
      <c r="H216" s="20"/>
      <c r="I216" s="20"/>
      <c r="J216" s="11" t="str">
        <f aca="false">IF(OR(C216="",G216=""),"",IF(_xlfn.MAXIFS($G$13:G215,$C$13:C215,C216)=0,"",_xlfn.MAXIFS($G$13:G215,$C$13:C215,C216)))</f>
        <v/>
      </c>
      <c r="K216" s="11" t="str">
        <f aca="false">IF(OR(G216="",J216=""),"",IF(G216&lt;0.95*J216,"Below trend","OK"))</f>
        <v/>
      </c>
    </row>
    <row r="217" customFormat="false" ht="15" hidden="false" customHeight="false" outlineLevel="0" collapsed="false">
      <c r="A217" s="51"/>
      <c r="B217" s="11" t="str">
        <f aca="false">IF(A217="","",INT((A217-'Start here'!$C$5)/7)+1)</f>
        <v/>
      </c>
      <c r="C217" s="20"/>
      <c r="D217" s="20"/>
      <c r="E217" s="20"/>
      <c r="F217" s="20"/>
      <c r="G217" s="11" t="str">
        <f aca="false">IF(OR(D217="",E217=""),"",IF(E217+10-IF(F217="",10,F217)&lt;=1,D217,ROUND(D217*(1+(E217+10-IF(F217="",10,F217))/30),1)))</f>
        <v/>
      </c>
      <c r="H217" s="20"/>
      <c r="I217" s="20"/>
      <c r="J217" s="11" t="str">
        <f aca="false">IF(OR(C217="",G217=""),"",IF(_xlfn.MAXIFS($G$13:G216,$C$13:C216,C217)=0,"",_xlfn.MAXIFS($G$13:G216,$C$13:C216,C217)))</f>
        <v/>
      </c>
      <c r="K217" s="11" t="str">
        <f aca="false">IF(OR(G217="",J217=""),"",IF(G217&lt;0.95*J217,"Below trend","OK"))</f>
        <v/>
      </c>
    </row>
    <row r="218" customFormat="false" ht="15" hidden="false" customHeight="false" outlineLevel="0" collapsed="false">
      <c r="A218" s="51"/>
      <c r="B218" s="11" t="str">
        <f aca="false">IF(A218="","",INT((A218-'Start here'!$C$5)/7)+1)</f>
        <v/>
      </c>
      <c r="C218" s="20"/>
      <c r="D218" s="20"/>
      <c r="E218" s="20"/>
      <c r="F218" s="20"/>
      <c r="G218" s="11" t="str">
        <f aca="false">IF(OR(D218="",E218=""),"",IF(E218+10-IF(F218="",10,F218)&lt;=1,D218,ROUND(D218*(1+(E218+10-IF(F218="",10,F218))/30),1)))</f>
        <v/>
      </c>
      <c r="H218" s="20"/>
      <c r="I218" s="20"/>
      <c r="J218" s="11" t="str">
        <f aca="false">IF(OR(C218="",G218=""),"",IF(_xlfn.MAXIFS($G$13:G217,$C$13:C217,C218)=0,"",_xlfn.MAXIFS($G$13:G217,$C$13:C217,C218)))</f>
        <v/>
      </c>
      <c r="K218" s="11" t="str">
        <f aca="false">IF(OR(G218="",J218=""),"",IF(G218&lt;0.95*J218,"Below trend","OK"))</f>
        <v/>
      </c>
    </row>
    <row r="219" customFormat="false" ht="15" hidden="false" customHeight="false" outlineLevel="0" collapsed="false">
      <c r="A219" s="51"/>
      <c r="B219" s="11" t="str">
        <f aca="false">IF(A219="","",INT((A219-'Start here'!$C$5)/7)+1)</f>
        <v/>
      </c>
      <c r="C219" s="20"/>
      <c r="D219" s="20"/>
      <c r="E219" s="20"/>
      <c r="F219" s="20"/>
      <c r="G219" s="11" t="str">
        <f aca="false">IF(OR(D219="",E219=""),"",IF(E219+10-IF(F219="",10,F219)&lt;=1,D219,ROUND(D219*(1+(E219+10-IF(F219="",10,F219))/30),1)))</f>
        <v/>
      </c>
      <c r="H219" s="20"/>
      <c r="I219" s="20"/>
      <c r="J219" s="11" t="str">
        <f aca="false">IF(OR(C219="",G219=""),"",IF(_xlfn.MAXIFS($G$13:G218,$C$13:C218,C219)=0,"",_xlfn.MAXIFS($G$13:G218,$C$13:C218,C219)))</f>
        <v/>
      </c>
      <c r="K219" s="11" t="str">
        <f aca="false">IF(OR(G219="",J219=""),"",IF(G219&lt;0.95*J219,"Below trend","OK"))</f>
        <v/>
      </c>
    </row>
    <row r="220" customFormat="false" ht="15" hidden="false" customHeight="false" outlineLevel="0" collapsed="false">
      <c r="A220" s="51"/>
      <c r="B220" s="11" t="str">
        <f aca="false">IF(A220="","",INT((A220-'Start here'!$C$5)/7)+1)</f>
        <v/>
      </c>
      <c r="C220" s="20"/>
      <c r="D220" s="20"/>
      <c r="E220" s="20"/>
      <c r="F220" s="20"/>
      <c r="G220" s="11" t="str">
        <f aca="false">IF(OR(D220="",E220=""),"",IF(E220+10-IF(F220="",10,F220)&lt;=1,D220,ROUND(D220*(1+(E220+10-IF(F220="",10,F220))/30),1)))</f>
        <v/>
      </c>
      <c r="H220" s="20"/>
      <c r="I220" s="20"/>
      <c r="J220" s="11" t="str">
        <f aca="false">IF(OR(C220="",G220=""),"",IF(_xlfn.MAXIFS($G$13:G219,$C$13:C219,C220)=0,"",_xlfn.MAXIFS($G$13:G219,$C$13:C219,C220)))</f>
        <v/>
      </c>
      <c r="K220" s="11" t="str">
        <f aca="false">IF(OR(G220="",J220=""),"",IF(G220&lt;0.95*J220,"Below trend","OK"))</f>
        <v/>
      </c>
    </row>
    <row r="221" customFormat="false" ht="15" hidden="false" customHeight="false" outlineLevel="0" collapsed="false">
      <c r="A221" s="51"/>
      <c r="B221" s="11" t="str">
        <f aca="false">IF(A221="","",INT((A221-'Start here'!$C$5)/7)+1)</f>
        <v/>
      </c>
      <c r="C221" s="20"/>
      <c r="D221" s="20"/>
      <c r="E221" s="20"/>
      <c r="F221" s="20"/>
      <c r="G221" s="11" t="str">
        <f aca="false">IF(OR(D221="",E221=""),"",IF(E221+10-IF(F221="",10,F221)&lt;=1,D221,ROUND(D221*(1+(E221+10-IF(F221="",10,F221))/30),1)))</f>
        <v/>
      </c>
      <c r="H221" s="20"/>
      <c r="I221" s="20"/>
      <c r="J221" s="11" t="str">
        <f aca="false">IF(OR(C221="",G221=""),"",IF(_xlfn.MAXIFS($G$13:G220,$C$13:C220,C221)=0,"",_xlfn.MAXIFS($G$13:G220,$C$13:C220,C221)))</f>
        <v/>
      </c>
      <c r="K221" s="11" t="str">
        <f aca="false">IF(OR(G221="",J221=""),"",IF(G221&lt;0.95*J221,"Below trend","OK"))</f>
        <v/>
      </c>
    </row>
    <row r="222" customFormat="false" ht="15" hidden="false" customHeight="false" outlineLevel="0" collapsed="false">
      <c r="A222" s="51"/>
      <c r="B222" s="11" t="str">
        <f aca="false">IF(A222="","",INT((A222-'Start here'!$C$5)/7)+1)</f>
        <v/>
      </c>
      <c r="C222" s="20"/>
      <c r="D222" s="20"/>
      <c r="E222" s="20"/>
      <c r="F222" s="20"/>
      <c r="G222" s="11" t="str">
        <f aca="false">IF(OR(D222="",E222=""),"",IF(E222+10-IF(F222="",10,F222)&lt;=1,D222,ROUND(D222*(1+(E222+10-IF(F222="",10,F222))/30),1)))</f>
        <v/>
      </c>
      <c r="H222" s="20"/>
      <c r="I222" s="20"/>
      <c r="J222" s="11" t="str">
        <f aca="false">IF(OR(C222="",G222=""),"",IF(_xlfn.MAXIFS($G$13:G221,$C$13:C221,C222)=0,"",_xlfn.MAXIFS($G$13:G221,$C$13:C221,C222)))</f>
        <v/>
      </c>
      <c r="K222" s="11" t="str">
        <f aca="false">IF(OR(G222="",J222=""),"",IF(G222&lt;0.95*J222,"Below trend","OK"))</f>
        <v/>
      </c>
    </row>
    <row r="223" customFormat="false" ht="15" hidden="false" customHeight="false" outlineLevel="0" collapsed="false">
      <c r="A223" s="51"/>
      <c r="B223" s="11" t="str">
        <f aca="false">IF(A223="","",INT((A223-'Start here'!$C$5)/7)+1)</f>
        <v/>
      </c>
      <c r="C223" s="20"/>
      <c r="D223" s="20"/>
      <c r="E223" s="20"/>
      <c r="F223" s="20"/>
      <c r="G223" s="11" t="str">
        <f aca="false">IF(OR(D223="",E223=""),"",IF(E223+10-IF(F223="",10,F223)&lt;=1,D223,ROUND(D223*(1+(E223+10-IF(F223="",10,F223))/30),1)))</f>
        <v/>
      </c>
      <c r="H223" s="20"/>
      <c r="I223" s="20"/>
      <c r="J223" s="11" t="str">
        <f aca="false">IF(OR(C223="",G223=""),"",IF(_xlfn.MAXIFS($G$13:G222,$C$13:C222,C223)=0,"",_xlfn.MAXIFS($G$13:G222,$C$13:C222,C223)))</f>
        <v/>
      </c>
      <c r="K223" s="11" t="str">
        <f aca="false">IF(OR(G223="",J223=""),"",IF(G223&lt;0.95*J223,"Below trend","OK"))</f>
        <v/>
      </c>
    </row>
    <row r="224" customFormat="false" ht="15" hidden="false" customHeight="false" outlineLevel="0" collapsed="false">
      <c r="A224" s="51"/>
      <c r="B224" s="11" t="str">
        <f aca="false">IF(A224="","",INT((A224-'Start here'!$C$5)/7)+1)</f>
        <v/>
      </c>
      <c r="C224" s="20"/>
      <c r="D224" s="20"/>
      <c r="E224" s="20"/>
      <c r="F224" s="20"/>
      <c r="G224" s="11" t="str">
        <f aca="false">IF(OR(D224="",E224=""),"",IF(E224+10-IF(F224="",10,F224)&lt;=1,D224,ROUND(D224*(1+(E224+10-IF(F224="",10,F224))/30),1)))</f>
        <v/>
      </c>
      <c r="H224" s="20"/>
      <c r="I224" s="20"/>
      <c r="J224" s="11" t="str">
        <f aca="false">IF(OR(C224="",G224=""),"",IF(_xlfn.MAXIFS($G$13:G223,$C$13:C223,C224)=0,"",_xlfn.MAXIFS($G$13:G223,$C$13:C223,C224)))</f>
        <v/>
      </c>
      <c r="K224" s="11" t="str">
        <f aca="false">IF(OR(G224="",J224=""),"",IF(G224&lt;0.95*J224,"Below trend","OK"))</f>
        <v/>
      </c>
    </row>
    <row r="225" customFormat="false" ht="15" hidden="false" customHeight="false" outlineLevel="0" collapsed="false">
      <c r="A225" s="51"/>
      <c r="B225" s="11" t="str">
        <f aca="false">IF(A225="","",INT((A225-'Start here'!$C$5)/7)+1)</f>
        <v/>
      </c>
      <c r="C225" s="20"/>
      <c r="D225" s="20"/>
      <c r="E225" s="20"/>
      <c r="F225" s="20"/>
      <c r="G225" s="11" t="str">
        <f aca="false">IF(OR(D225="",E225=""),"",IF(E225+10-IF(F225="",10,F225)&lt;=1,D225,ROUND(D225*(1+(E225+10-IF(F225="",10,F225))/30),1)))</f>
        <v/>
      </c>
      <c r="H225" s="20"/>
      <c r="I225" s="20"/>
      <c r="J225" s="11" t="str">
        <f aca="false">IF(OR(C225="",G225=""),"",IF(_xlfn.MAXIFS($G$13:G224,$C$13:C224,C225)=0,"",_xlfn.MAXIFS($G$13:G224,$C$13:C224,C225)))</f>
        <v/>
      </c>
      <c r="K225" s="11" t="str">
        <f aca="false">IF(OR(G225="",J225=""),"",IF(G225&lt;0.95*J225,"Below trend","OK"))</f>
        <v/>
      </c>
    </row>
    <row r="226" customFormat="false" ht="15" hidden="false" customHeight="false" outlineLevel="0" collapsed="false">
      <c r="A226" s="51"/>
      <c r="B226" s="11" t="str">
        <f aca="false">IF(A226="","",INT((A226-'Start here'!$C$5)/7)+1)</f>
        <v/>
      </c>
      <c r="C226" s="20"/>
      <c r="D226" s="20"/>
      <c r="E226" s="20"/>
      <c r="F226" s="20"/>
      <c r="G226" s="11" t="str">
        <f aca="false">IF(OR(D226="",E226=""),"",IF(E226+10-IF(F226="",10,F226)&lt;=1,D226,ROUND(D226*(1+(E226+10-IF(F226="",10,F226))/30),1)))</f>
        <v/>
      </c>
      <c r="H226" s="20"/>
      <c r="I226" s="20"/>
      <c r="J226" s="11" t="str">
        <f aca="false">IF(OR(C226="",G226=""),"",IF(_xlfn.MAXIFS($G$13:G225,$C$13:C225,C226)=0,"",_xlfn.MAXIFS($G$13:G225,$C$13:C225,C226)))</f>
        <v/>
      </c>
      <c r="K226" s="11" t="str">
        <f aca="false">IF(OR(G226="",J226=""),"",IF(G226&lt;0.95*J226,"Below trend","OK"))</f>
        <v/>
      </c>
    </row>
    <row r="227" customFormat="false" ht="15" hidden="false" customHeight="false" outlineLevel="0" collapsed="false">
      <c r="A227" s="51"/>
      <c r="B227" s="11" t="str">
        <f aca="false">IF(A227="","",INT((A227-'Start here'!$C$5)/7)+1)</f>
        <v/>
      </c>
      <c r="C227" s="20"/>
      <c r="D227" s="20"/>
      <c r="E227" s="20"/>
      <c r="F227" s="20"/>
      <c r="G227" s="11" t="str">
        <f aca="false">IF(OR(D227="",E227=""),"",IF(E227+10-IF(F227="",10,F227)&lt;=1,D227,ROUND(D227*(1+(E227+10-IF(F227="",10,F227))/30),1)))</f>
        <v/>
      </c>
      <c r="H227" s="20"/>
      <c r="I227" s="20"/>
      <c r="J227" s="11" t="str">
        <f aca="false">IF(OR(C227="",G227=""),"",IF(_xlfn.MAXIFS($G$13:G226,$C$13:C226,C227)=0,"",_xlfn.MAXIFS($G$13:G226,$C$13:C226,C227)))</f>
        <v/>
      </c>
      <c r="K227" s="11" t="str">
        <f aca="false">IF(OR(G227="",J227=""),"",IF(G227&lt;0.95*J227,"Below trend","OK"))</f>
        <v/>
      </c>
    </row>
    <row r="228" customFormat="false" ht="15" hidden="false" customHeight="false" outlineLevel="0" collapsed="false">
      <c r="A228" s="51"/>
      <c r="B228" s="11" t="str">
        <f aca="false">IF(A228="","",INT((A228-'Start here'!$C$5)/7)+1)</f>
        <v/>
      </c>
      <c r="C228" s="20"/>
      <c r="D228" s="20"/>
      <c r="E228" s="20"/>
      <c r="F228" s="20"/>
      <c r="G228" s="11" t="str">
        <f aca="false">IF(OR(D228="",E228=""),"",IF(E228+10-IF(F228="",10,F228)&lt;=1,D228,ROUND(D228*(1+(E228+10-IF(F228="",10,F228))/30),1)))</f>
        <v/>
      </c>
      <c r="H228" s="20"/>
      <c r="I228" s="20"/>
      <c r="J228" s="11" t="str">
        <f aca="false">IF(OR(C228="",G228=""),"",IF(_xlfn.MAXIFS($G$13:G227,$C$13:C227,C228)=0,"",_xlfn.MAXIFS($G$13:G227,$C$13:C227,C228)))</f>
        <v/>
      </c>
      <c r="K228" s="11" t="str">
        <f aca="false">IF(OR(G228="",J228=""),"",IF(G228&lt;0.95*J228,"Below trend","OK"))</f>
        <v/>
      </c>
    </row>
    <row r="229" customFormat="false" ht="15" hidden="false" customHeight="false" outlineLevel="0" collapsed="false">
      <c r="A229" s="51"/>
      <c r="B229" s="11" t="str">
        <f aca="false">IF(A229="","",INT((A229-'Start here'!$C$5)/7)+1)</f>
        <v/>
      </c>
      <c r="C229" s="20"/>
      <c r="D229" s="20"/>
      <c r="E229" s="20"/>
      <c r="F229" s="20"/>
      <c r="G229" s="11" t="str">
        <f aca="false">IF(OR(D229="",E229=""),"",IF(E229+10-IF(F229="",10,F229)&lt;=1,D229,ROUND(D229*(1+(E229+10-IF(F229="",10,F229))/30),1)))</f>
        <v/>
      </c>
      <c r="H229" s="20"/>
      <c r="I229" s="20"/>
      <c r="J229" s="11" t="str">
        <f aca="false">IF(OR(C229="",G229=""),"",IF(_xlfn.MAXIFS($G$13:G228,$C$13:C228,C229)=0,"",_xlfn.MAXIFS($G$13:G228,$C$13:C228,C229)))</f>
        <v/>
      </c>
      <c r="K229" s="11" t="str">
        <f aca="false">IF(OR(G229="",J229=""),"",IF(G229&lt;0.95*J229,"Below trend","OK"))</f>
        <v/>
      </c>
    </row>
    <row r="230" customFormat="false" ht="15" hidden="false" customHeight="false" outlineLevel="0" collapsed="false">
      <c r="A230" s="51"/>
      <c r="B230" s="11" t="str">
        <f aca="false">IF(A230="","",INT((A230-'Start here'!$C$5)/7)+1)</f>
        <v/>
      </c>
      <c r="C230" s="20"/>
      <c r="D230" s="20"/>
      <c r="E230" s="20"/>
      <c r="F230" s="20"/>
      <c r="G230" s="11" t="str">
        <f aca="false">IF(OR(D230="",E230=""),"",IF(E230+10-IF(F230="",10,F230)&lt;=1,D230,ROUND(D230*(1+(E230+10-IF(F230="",10,F230))/30),1)))</f>
        <v/>
      </c>
      <c r="H230" s="20"/>
      <c r="I230" s="20"/>
      <c r="J230" s="11" t="str">
        <f aca="false">IF(OR(C230="",G230=""),"",IF(_xlfn.MAXIFS($G$13:G229,$C$13:C229,C230)=0,"",_xlfn.MAXIFS($G$13:G229,$C$13:C229,C230)))</f>
        <v/>
      </c>
      <c r="K230" s="11" t="str">
        <f aca="false">IF(OR(G230="",J230=""),"",IF(G230&lt;0.95*J230,"Below trend","OK"))</f>
        <v/>
      </c>
    </row>
    <row r="231" customFormat="false" ht="15" hidden="false" customHeight="false" outlineLevel="0" collapsed="false">
      <c r="A231" s="51"/>
      <c r="B231" s="11" t="str">
        <f aca="false">IF(A231="","",INT((A231-'Start here'!$C$5)/7)+1)</f>
        <v/>
      </c>
      <c r="C231" s="20"/>
      <c r="D231" s="20"/>
      <c r="E231" s="20"/>
      <c r="F231" s="20"/>
      <c r="G231" s="11" t="str">
        <f aca="false">IF(OR(D231="",E231=""),"",IF(E231+10-IF(F231="",10,F231)&lt;=1,D231,ROUND(D231*(1+(E231+10-IF(F231="",10,F231))/30),1)))</f>
        <v/>
      </c>
      <c r="H231" s="20"/>
      <c r="I231" s="20"/>
      <c r="J231" s="11" t="str">
        <f aca="false">IF(OR(C231="",G231=""),"",IF(_xlfn.MAXIFS($G$13:G230,$C$13:C230,C231)=0,"",_xlfn.MAXIFS($G$13:G230,$C$13:C230,C231)))</f>
        <v/>
      </c>
      <c r="K231" s="11" t="str">
        <f aca="false">IF(OR(G231="",J231=""),"",IF(G231&lt;0.95*J231,"Below trend","OK"))</f>
        <v/>
      </c>
    </row>
    <row r="232" customFormat="false" ht="15" hidden="false" customHeight="false" outlineLevel="0" collapsed="false">
      <c r="A232" s="51"/>
      <c r="B232" s="11" t="str">
        <f aca="false">IF(A232="","",INT((A232-'Start here'!$C$5)/7)+1)</f>
        <v/>
      </c>
      <c r="C232" s="20"/>
      <c r="D232" s="20"/>
      <c r="E232" s="20"/>
      <c r="F232" s="20"/>
      <c r="G232" s="11" t="str">
        <f aca="false">IF(OR(D232="",E232=""),"",IF(E232+10-IF(F232="",10,F232)&lt;=1,D232,ROUND(D232*(1+(E232+10-IF(F232="",10,F232))/30),1)))</f>
        <v/>
      </c>
      <c r="H232" s="20"/>
      <c r="I232" s="20"/>
      <c r="J232" s="11" t="str">
        <f aca="false">IF(OR(C232="",G232=""),"",IF(_xlfn.MAXIFS($G$13:G231,$C$13:C231,C232)=0,"",_xlfn.MAXIFS($G$13:G231,$C$13:C231,C232)))</f>
        <v/>
      </c>
      <c r="K232" s="11" t="str">
        <f aca="false">IF(OR(G232="",J232=""),"",IF(G232&lt;0.95*J232,"Below trend","OK"))</f>
        <v/>
      </c>
    </row>
    <row r="233" customFormat="false" ht="15" hidden="false" customHeight="false" outlineLevel="0" collapsed="false">
      <c r="A233" s="51"/>
      <c r="B233" s="11" t="str">
        <f aca="false">IF(A233="","",INT((A233-'Start here'!$C$5)/7)+1)</f>
        <v/>
      </c>
      <c r="C233" s="20"/>
      <c r="D233" s="20"/>
      <c r="E233" s="20"/>
      <c r="F233" s="20"/>
      <c r="G233" s="11" t="str">
        <f aca="false">IF(OR(D233="",E233=""),"",IF(E233+10-IF(F233="",10,F233)&lt;=1,D233,ROUND(D233*(1+(E233+10-IF(F233="",10,F233))/30),1)))</f>
        <v/>
      </c>
      <c r="H233" s="20"/>
      <c r="I233" s="20"/>
      <c r="J233" s="11" t="str">
        <f aca="false">IF(OR(C233="",G233=""),"",IF(_xlfn.MAXIFS($G$13:G232,$C$13:C232,C233)=0,"",_xlfn.MAXIFS($G$13:G232,$C$13:C232,C233)))</f>
        <v/>
      </c>
      <c r="K233" s="11" t="str">
        <f aca="false">IF(OR(G233="",J233=""),"",IF(G233&lt;0.95*J233,"Below trend","OK"))</f>
        <v/>
      </c>
    </row>
    <row r="234" customFormat="false" ht="15" hidden="false" customHeight="false" outlineLevel="0" collapsed="false">
      <c r="A234" s="51"/>
      <c r="B234" s="11" t="str">
        <f aca="false">IF(A234="","",INT((A234-'Start here'!$C$5)/7)+1)</f>
        <v/>
      </c>
      <c r="C234" s="20"/>
      <c r="D234" s="20"/>
      <c r="E234" s="20"/>
      <c r="F234" s="20"/>
      <c r="G234" s="11" t="str">
        <f aca="false">IF(OR(D234="",E234=""),"",IF(E234+10-IF(F234="",10,F234)&lt;=1,D234,ROUND(D234*(1+(E234+10-IF(F234="",10,F234))/30),1)))</f>
        <v/>
      </c>
      <c r="H234" s="20"/>
      <c r="I234" s="20"/>
      <c r="J234" s="11" t="str">
        <f aca="false">IF(OR(C234="",G234=""),"",IF(_xlfn.MAXIFS($G$13:G233,$C$13:C233,C234)=0,"",_xlfn.MAXIFS($G$13:G233,$C$13:C233,C234)))</f>
        <v/>
      </c>
      <c r="K234" s="11" t="str">
        <f aca="false">IF(OR(G234="",J234=""),"",IF(G234&lt;0.95*J234,"Below trend","OK"))</f>
        <v/>
      </c>
    </row>
    <row r="235" customFormat="false" ht="15" hidden="false" customHeight="false" outlineLevel="0" collapsed="false">
      <c r="A235" s="51"/>
      <c r="B235" s="11" t="str">
        <f aca="false">IF(A235="","",INT((A235-'Start here'!$C$5)/7)+1)</f>
        <v/>
      </c>
      <c r="C235" s="20"/>
      <c r="D235" s="20"/>
      <c r="E235" s="20"/>
      <c r="F235" s="20"/>
      <c r="G235" s="11" t="str">
        <f aca="false">IF(OR(D235="",E235=""),"",IF(E235+10-IF(F235="",10,F235)&lt;=1,D235,ROUND(D235*(1+(E235+10-IF(F235="",10,F235))/30),1)))</f>
        <v/>
      </c>
      <c r="H235" s="20"/>
      <c r="I235" s="20"/>
      <c r="J235" s="11" t="str">
        <f aca="false">IF(OR(C235="",G235=""),"",IF(_xlfn.MAXIFS($G$13:G234,$C$13:C234,C235)=0,"",_xlfn.MAXIFS($G$13:G234,$C$13:C234,C235)))</f>
        <v/>
      </c>
      <c r="K235" s="11" t="str">
        <f aca="false">IF(OR(G235="",J235=""),"",IF(G235&lt;0.95*J235,"Below trend","OK"))</f>
        <v/>
      </c>
    </row>
    <row r="236" customFormat="false" ht="15" hidden="false" customHeight="false" outlineLevel="0" collapsed="false">
      <c r="A236" s="51"/>
      <c r="B236" s="11" t="str">
        <f aca="false">IF(A236="","",INT((A236-'Start here'!$C$5)/7)+1)</f>
        <v/>
      </c>
      <c r="C236" s="20"/>
      <c r="D236" s="20"/>
      <c r="E236" s="20"/>
      <c r="F236" s="20"/>
      <c r="G236" s="11" t="str">
        <f aca="false">IF(OR(D236="",E236=""),"",IF(E236+10-IF(F236="",10,F236)&lt;=1,D236,ROUND(D236*(1+(E236+10-IF(F236="",10,F236))/30),1)))</f>
        <v/>
      </c>
      <c r="H236" s="20"/>
      <c r="I236" s="20"/>
      <c r="J236" s="11" t="str">
        <f aca="false">IF(OR(C236="",G236=""),"",IF(_xlfn.MAXIFS($G$13:G235,$C$13:C235,C236)=0,"",_xlfn.MAXIFS($G$13:G235,$C$13:C235,C236)))</f>
        <v/>
      </c>
      <c r="K236" s="11" t="str">
        <f aca="false">IF(OR(G236="",J236=""),"",IF(G236&lt;0.95*J236,"Below trend","OK"))</f>
        <v/>
      </c>
    </row>
    <row r="237" customFormat="false" ht="15" hidden="false" customHeight="false" outlineLevel="0" collapsed="false">
      <c r="A237" s="51"/>
      <c r="B237" s="11" t="str">
        <f aca="false">IF(A237="","",INT((A237-'Start here'!$C$5)/7)+1)</f>
        <v/>
      </c>
      <c r="C237" s="20"/>
      <c r="D237" s="20"/>
      <c r="E237" s="20"/>
      <c r="F237" s="20"/>
      <c r="G237" s="11" t="str">
        <f aca="false">IF(OR(D237="",E237=""),"",IF(E237+10-IF(F237="",10,F237)&lt;=1,D237,ROUND(D237*(1+(E237+10-IF(F237="",10,F237))/30),1)))</f>
        <v/>
      </c>
      <c r="H237" s="20"/>
      <c r="I237" s="20"/>
      <c r="J237" s="11" t="str">
        <f aca="false">IF(OR(C237="",G237=""),"",IF(_xlfn.MAXIFS($G$13:G236,$C$13:C236,C237)=0,"",_xlfn.MAXIFS($G$13:G236,$C$13:C236,C237)))</f>
        <v/>
      </c>
      <c r="K237" s="11" t="str">
        <f aca="false">IF(OR(G237="",J237=""),"",IF(G237&lt;0.95*J237,"Below trend","OK"))</f>
        <v/>
      </c>
    </row>
    <row r="238" customFormat="false" ht="15" hidden="false" customHeight="false" outlineLevel="0" collapsed="false">
      <c r="A238" s="51"/>
      <c r="B238" s="11" t="str">
        <f aca="false">IF(A238="","",INT((A238-'Start here'!$C$5)/7)+1)</f>
        <v/>
      </c>
      <c r="C238" s="20"/>
      <c r="D238" s="20"/>
      <c r="E238" s="20"/>
      <c r="F238" s="20"/>
      <c r="G238" s="11" t="str">
        <f aca="false">IF(OR(D238="",E238=""),"",IF(E238+10-IF(F238="",10,F238)&lt;=1,D238,ROUND(D238*(1+(E238+10-IF(F238="",10,F238))/30),1)))</f>
        <v/>
      </c>
      <c r="H238" s="20"/>
      <c r="I238" s="20"/>
      <c r="J238" s="11" t="str">
        <f aca="false">IF(OR(C238="",G238=""),"",IF(_xlfn.MAXIFS($G$13:G237,$C$13:C237,C238)=0,"",_xlfn.MAXIFS($G$13:G237,$C$13:C237,C238)))</f>
        <v/>
      </c>
      <c r="K238" s="11" t="str">
        <f aca="false">IF(OR(G238="",J238=""),"",IF(G238&lt;0.95*J238,"Below trend","OK"))</f>
        <v/>
      </c>
    </row>
    <row r="239" customFormat="false" ht="15" hidden="false" customHeight="false" outlineLevel="0" collapsed="false">
      <c r="A239" s="51"/>
      <c r="B239" s="11" t="str">
        <f aca="false">IF(A239="","",INT((A239-'Start here'!$C$5)/7)+1)</f>
        <v/>
      </c>
      <c r="C239" s="20"/>
      <c r="D239" s="20"/>
      <c r="E239" s="20"/>
      <c r="F239" s="20"/>
      <c r="G239" s="11" t="str">
        <f aca="false">IF(OR(D239="",E239=""),"",IF(E239+10-IF(F239="",10,F239)&lt;=1,D239,ROUND(D239*(1+(E239+10-IF(F239="",10,F239))/30),1)))</f>
        <v/>
      </c>
      <c r="H239" s="20"/>
      <c r="I239" s="20"/>
      <c r="J239" s="11" t="str">
        <f aca="false">IF(OR(C239="",G239=""),"",IF(_xlfn.MAXIFS($G$13:G238,$C$13:C238,C239)=0,"",_xlfn.MAXIFS($G$13:G238,$C$13:C238,C239)))</f>
        <v/>
      </c>
      <c r="K239" s="11" t="str">
        <f aca="false">IF(OR(G239="",J239=""),"",IF(G239&lt;0.95*J239,"Below trend","OK"))</f>
        <v/>
      </c>
    </row>
    <row r="240" customFormat="false" ht="15" hidden="false" customHeight="false" outlineLevel="0" collapsed="false">
      <c r="A240" s="51"/>
      <c r="B240" s="11" t="str">
        <f aca="false">IF(A240="","",INT((A240-'Start here'!$C$5)/7)+1)</f>
        <v/>
      </c>
      <c r="C240" s="20"/>
      <c r="D240" s="20"/>
      <c r="E240" s="20"/>
      <c r="F240" s="20"/>
      <c r="G240" s="11" t="str">
        <f aca="false">IF(OR(D240="",E240=""),"",IF(E240+10-IF(F240="",10,F240)&lt;=1,D240,ROUND(D240*(1+(E240+10-IF(F240="",10,F240))/30),1)))</f>
        <v/>
      </c>
      <c r="H240" s="20"/>
      <c r="I240" s="20"/>
      <c r="J240" s="11" t="str">
        <f aca="false">IF(OR(C240="",G240=""),"",IF(_xlfn.MAXIFS($G$13:G239,$C$13:C239,C240)=0,"",_xlfn.MAXIFS($G$13:G239,$C$13:C239,C240)))</f>
        <v/>
      </c>
      <c r="K240" s="11" t="str">
        <f aca="false">IF(OR(G240="",J240=""),"",IF(G240&lt;0.95*J240,"Below trend","OK"))</f>
        <v/>
      </c>
    </row>
    <row r="241" customFormat="false" ht="15" hidden="false" customHeight="false" outlineLevel="0" collapsed="false">
      <c r="A241" s="51"/>
      <c r="B241" s="11" t="str">
        <f aca="false">IF(A241="","",INT((A241-'Start here'!$C$5)/7)+1)</f>
        <v/>
      </c>
      <c r="C241" s="20"/>
      <c r="D241" s="20"/>
      <c r="E241" s="20"/>
      <c r="F241" s="20"/>
      <c r="G241" s="11" t="str">
        <f aca="false">IF(OR(D241="",E241=""),"",IF(E241+10-IF(F241="",10,F241)&lt;=1,D241,ROUND(D241*(1+(E241+10-IF(F241="",10,F241))/30),1)))</f>
        <v/>
      </c>
      <c r="H241" s="20"/>
      <c r="I241" s="20"/>
      <c r="J241" s="11" t="str">
        <f aca="false">IF(OR(C241="",G241=""),"",IF(_xlfn.MAXIFS($G$13:G240,$C$13:C240,C241)=0,"",_xlfn.MAXIFS($G$13:G240,$C$13:C240,C241)))</f>
        <v/>
      </c>
      <c r="K241" s="11" t="str">
        <f aca="false">IF(OR(G241="",J241=""),"",IF(G241&lt;0.95*J241,"Below trend","OK"))</f>
        <v/>
      </c>
    </row>
    <row r="242" customFormat="false" ht="15" hidden="false" customHeight="false" outlineLevel="0" collapsed="false">
      <c r="A242" s="51"/>
      <c r="B242" s="11" t="str">
        <f aca="false">IF(A242="","",INT((A242-'Start here'!$C$5)/7)+1)</f>
        <v/>
      </c>
      <c r="C242" s="20"/>
      <c r="D242" s="20"/>
      <c r="E242" s="20"/>
      <c r="F242" s="20"/>
      <c r="G242" s="11" t="str">
        <f aca="false">IF(OR(D242="",E242=""),"",IF(E242+10-IF(F242="",10,F242)&lt;=1,D242,ROUND(D242*(1+(E242+10-IF(F242="",10,F242))/30),1)))</f>
        <v/>
      </c>
      <c r="H242" s="20"/>
      <c r="I242" s="20"/>
      <c r="J242" s="11" t="str">
        <f aca="false">IF(OR(C242="",G242=""),"",IF(_xlfn.MAXIFS($G$13:G241,$C$13:C241,C242)=0,"",_xlfn.MAXIFS($G$13:G241,$C$13:C241,C242)))</f>
        <v/>
      </c>
      <c r="K242" s="11" t="str">
        <f aca="false">IF(OR(G242="",J242=""),"",IF(G242&lt;0.95*J242,"Below trend","OK"))</f>
        <v/>
      </c>
    </row>
    <row r="243" customFormat="false" ht="15" hidden="false" customHeight="false" outlineLevel="0" collapsed="false">
      <c r="A243" s="51"/>
      <c r="B243" s="11" t="str">
        <f aca="false">IF(A243="","",INT((A243-'Start here'!$C$5)/7)+1)</f>
        <v/>
      </c>
      <c r="C243" s="20"/>
      <c r="D243" s="20"/>
      <c r="E243" s="20"/>
      <c r="F243" s="20"/>
      <c r="G243" s="11" t="str">
        <f aca="false">IF(OR(D243="",E243=""),"",IF(E243+10-IF(F243="",10,F243)&lt;=1,D243,ROUND(D243*(1+(E243+10-IF(F243="",10,F243))/30),1)))</f>
        <v/>
      </c>
      <c r="H243" s="20"/>
      <c r="I243" s="20"/>
      <c r="J243" s="11" t="str">
        <f aca="false">IF(OR(C243="",G243=""),"",IF(_xlfn.MAXIFS($G$13:G242,$C$13:C242,C243)=0,"",_xlfn.MAXIFS($G$13:G242,$C$13:C242,C243)))</f>
        <v/>
      </c>
      <c r="K243" s="11" t="str">
        <f aca="false">IF(OR(G243="",J243=""),"",IF(G243&lt;0.95*J243,"Below trend","OK"))</f>
        <v/>
      </c>
    </row>
    <row r="244" customFormat="false" ht="15" hidden="false" customHeight="false" outlineLevel="0" collapsed="false">
      <c r="A244" s="51"/>
      <c r="B244" s="11" t="str">
        <f aca="false">IF(A244="","",INT((A244-'Start here'!$C$5)/7)+1)</f>
        <v/>
      </c>
      <c r="C244" s="20"/>
      <c r="D244" s="20"/>
      <c r="E244" s="20"/>
      <c r="F244" s="20"/>
      <c r="G244" s="11" t="str">
        <f aca="false">IF(OR(D244="",E244=""),"",IF(E244+10-IF(F244="",10,F244)&lt;=1,D244,ROUND(D244*(1+(E244+10-IF(F244="",10,F244))/30),1)))</f>
        <v/>
      </c>
      <c r="H244" s="20"/>
      <c r="I244" s="20"/>
      <c r="J244" s="11" t="str">
        <f aca="false">IF(OR(C244="",G244=""),"",IF(_xlfn.MAXIFS($G$13:G243,$C$13:C243,C244)=0,"",_xlfn.MAXIFS($G$13:G243,$C$13:C243,C244)))</f>
        <v/>
      </c>
      <c r="K244" s="11" t="str">
        <f aca="false">IF(OR(G244="",J244=""),"",IF(G244&lt;0.95*J244,"Below trend","OK"))</f>
        <v/>
      </c>
    </row>
    <row r="245" customFormat="false" ht="15" hidden="false" customHeight="false" outlineLevel="0" collapsed="false">
      <c r="A245" s="51"/>
      <c r="B245" s="11" t="str">
        <f aca="false">IF(A245="","",INT((A245-'Start here'!$C$5)/7)+1)</f>
        <v/>
      </c>
      <c r="C245" s="20"/>
      <c r="D245" s="20"/>
      <c r="E245" s="20"/>
      <c r="F245" s="20"/>
      <c r="G245" s="11" t="str">
        <f aca="false">IF(OR(D245="",E245=""),"",IF(E245+10-IF(F245="",10,F245)&lt;=1,D245,ROUND(D245*(1+(E245+10-IF(F245="",10,F245))/30),1)))</f>
        <v/>
      </c>
      <c r="H245" s="20"/>
      <c r="I245" s="20"/>
      <c r="J245" s="11" t="str">
        <f aca="false">IF(OR(C245="",G245=""),"",IF(_xlfn.MAXIFS($G$13:G244,$C$13:C244,C245)=0,"",_xlfn.MAXIFS($G$13:G244,$C$13:C244,C245)))</f>
        <v/>
      </c>
      <c r="K245" s="11" t="str">
        <f aca="false">IF(OR(G245="",J245=""),"",IF(G245&lt;0.95*J245,"Below trend","OK"))</f>
        <v/>
      </c>
    </row>
    <row r="246" customFormat="false" ht="15" hidden="false" customHeight="false" outlineLevel="0" collapsed="false">
      <c r="A246" s="51"/>
      <c r="B246" s="11" t="str">
        <f aca="false">IF(A246="","",INT((A246-'Start here'!$C$5)/7)+1)</f>
        <v/>
      </c>
      <c r="C246" s="20"/>
      <c r="D246" s="20"/>
      <c r="E246" s="20"/>
      <c r="F246" s="20"/>
      <c r="G246" s="11" t="str">
        <f aca="false">IF(OR(D246="",E246=""),"",IF(E246+10-IF(F246="",10,F246)&lt;=1,D246,ROUND(D246*(1+(E246+10-IF(F246="",10,F246))/30),1)))</f>
        <v/>
      </c>
      <c r="H246" s="20"/>
      <c r="I246" s="20"/>
      <c r="J246" s="11" t="str">
        <f aca="false">IF(OR(C246="",G246=""),"",IF(_xlfn.MAXIFS($G$13:G245,$C$13:C245,C246)=0,"",_xlfn.MAXIFS($G$13:G245,$C$13:C245,C246)))</f>
        <v/>
      </c>
      <c r="K246" s="11" t="str">
        <f aca="false">IF(OR(G246="",J246=""),"",IF(G246&lt;0.95*J246,"Below trend","OK"))</f>
        <v/>
      </c>
    </row>
    <row r="247" customFormat="false" ht="15" hidden="false" customHeight="false" outlineLevel="0" collapsed="false">
      <c r="A247" s="51"/>
      <c r="B247" s="11" t="str">
        <f aca="false">IF(A247="","",INT((A247-'Start here'!$C$5)/7)+1)</f>
        <v/>
      </c>
      <c r="C247" s="20"/>
      <c r="D247" s="20"/>
      <c r="E247" s="20"/>
      <c r="F247" s="20"/>
      <c r="G247" s="11" t="str">
        <f aca="false">IF(OR(D247="",E247=""),"",IF(E247+10-IF(F247="",10,F247)&lt;=1,D247,ROUND(D247*(1+(E247+10-IF(F247="",10,F247))/30),1)))</f>
        <v/>
      </c>
      <c r="H247" s="20"/>
      <c r="I247" s="20"/>
      <c r="J247" s="11" t="str">
        <f aca="false">IF(OR(C247="",G247=""),"",IF(_xlfn.MAXIFS($G$13:G246,$C$13:C246,C247)=0,"",_xlfn.MAXIFS($G$13:G246,$C$13:C246,C247)))</f>
        <v/>
      </c>
      <c r="K247" s="11" t="str">
        <f aca="false">IF(OR(G247="",J247=""),"",IF(G247&lt;0.95*J247,"Below trend","OK"))</f>
        <v/>
      </c>
    </row>
    <row r="248" customFormat="false" ht="15" hidden="false" customHeight="false" outlineLevel="0" collapsed="false">
      <c r="A248" s="51"/>
      <c r="B248" s="11" t="str">
        <f aca="false">IF(A248="","",INT((A248-'Start here'!$C$5)/7)+1)</f>
        <v/>
      </c>
      <c r="C248" s="20"/>
      <c r="D248" s="20"/>
      <c r="E248" s="20"/>
      <c r="F248" s="20"/>
      <c r="G248" s="11" t="str">
        <f aca="false">IF(OR(D248="",E248=""),"",IF(E248+10-IF(F248="",10,F248)&lt;=1,D248,ROUND(D248*(1+(E248+10-IF(F248="",10,F248))/30),1)))</f>
        <v/>
      </c>
      <c r="H248" s="20"/>
      <c r="I248" s="20"/>
      <c r="J248" s="11" t="str">
        <f aca="false">IF(OR(C248="",G248=""),"",IF(_xlfn.MAXIFS($G$13:G247,$C$13:C247,C248)=0,"",_xlfn.MAXIFS($G$13:G247,$C$13:C247,C248)))</f>
        <v/>
      </c>
      <c r="K248" s="11" t="str">
        <f aca="false">IF(OR(G248="",J248=""),"",IF(G248&lt;0.95*J248,"Below trend","OK"))</f>
        <v/>
      </c>
    </row>
    <row r="249" customFormat="false" ht="15" hidden="false" customHeight="false" outlineLevel="0" collapsed="false">
      <c r="A249" s="51"/>
      <c r="B249" s="11" t="str">
        <f aca="false">IF(A249="","",INT((A249-'Start here'!$C$5)/7)+1)</f>
        <v/>
      </c>
      <c r="C249" s="20"/>
      <c r="D249" s="20"/>
      <c r="E249" s="20"/>
      <c r="F249" s="20"/>
      <c r="G249" s="11" t="str">
        <f aca="false">IF(OR(D249="",E249=""),"",IF(E249+10-IF(F249="",10,F249)&lt;=1,D249,ROUND(D249*(1+(E249+10-IF(F249="",10,F249))/30),1)))</f>
        <v/>
      </c>
      <c r="H249" s="20"/>
      <c r="I249" s="20"/>
      <c r="J249" s="11" t="str">
        <f aca="false">IF(OR(C249="",G249=""),"",IF(_xlfn.MAXIFS($G$13:G248,$C$13:C248,C249)=0,"",_xlfn.MAXIFS($G$13:G248,$C$13:C248,C249)))</f>
        <v/>
      </c>
      <c r="K249" s="11" t="str">
        <f aca="false">IF(OR(G249="",J249=""),"",IF(G249&lt;0.95*J249,"Below trend","OK"))</f>
        <v/>
      </c>
    </row>
    <row r="250" customFormat="false" ht="15" hidden="false" customHeight="false" outlineLevel="0" collapsed="false">
      <c r="A250" s="51"/>
      <c r="B250" s="11" t="str">
        <f aca="false">IF(A250="","",INT((A250-'Start here'!$C$5)/7)+1)</f>
        <v/>
      </c>
      <c r="C250" s="20"/>
      <c r="D250" s="20"/>
      <c r="E250" s="20"/>
      <c r="F250" s="20"/>
      <c r="G250" s="11" t="str">
        <f aca="false">IF(OR(D250="",E250=""),"",IF(E250+10-IF(F250="",10,F250)&lt;=1,D250,ROUND(D250*(1+(E250+10-IF(F250="",10,F250))/30),1)))</f>
        <v/>
      </c>
      <c r="H250" s="20"/>
      <c r="I250" s="20"/>
      <c r="J250" s="11" t="str">
        <f aca="false">IF(OR(C250="",G250=""),"",IF(_xlfn.MAXIFS($G$13:G249,$C$13:C249,C250)=0,"",_xlfn.MAXIFS($G$13:G249,$C$13:C249,C250)))</f>
        <v/>
      </c>
      <c r="K250" s="11" t="str">
        <f aca="false">IF(OR(G250="",J250=""),"",IF(G250&lt;0.95*J250,"Below trend","OK"))</f>
        <v/>
      </c>
    </row>
    <row r="251" customFormat="false" ht="15" hidden="false" customHeight="false" outlineLevel="0" collapsed="false">
      <c r="A251" s="51"/>
      <c r="B251" s="11" t="str">
        <f aca="false">IF(A251="","",INT((A251-'Start here'!$C$5)/7)+1)</f>
        <v/>
      </c>
      <c r="C251" s="20"/>
      <c r="D251" s="20"/>
      <c r="E251" s="20"/>
      <c r="F251" s="20"/>
      <c r="G251" s="11" t="str">
        <f aca="false">IF(OR(D251="",E251=""),"",IF(E251+10-IF(F251="",10,F251)&lt;=1,D251,ROUND(D251*(1+(E251+10-IF(F251="",10,F251))/30),1)))</f>
        <v/>
      </c>
      <c r="H251" s="20"/>
      <c r="I251" s="20"/>
      <c r="J251" s="11" t="str">
        <f aca="false">IF(OR(C251="",G251=""),"",IF(_xlfn.MAXIFS($G$13:G250,$C$13:C250,C251)=0,"",_xlfn.MAXIFS($G$13:G250,$C$13:C250,C251)))</f>
        <v/>
      </c>
      <c r="K251" s="11" t="str">
        <f aca="false">IF(OR(G251="",J251=""),"",IF(G251&lt;0.95*J251,"Below trend","OK"))</f>
        <v/>
      </c>
    </row>
    <row r="252" customFormat="false" ht="15" hidden="false" customHeight="false" outlineLevel="0" collapsed="false">
      <c r="A252" s="51"/>
      <c r="B252" s="11" t="str">
        <f aca="false">IF(A252="","",INT((A252-'Start here'!$C$5)/7)+1)</f>
        <v/>
      </c>
      <c r="C252" s="20"/>
      <c r="D252" s="20"/>
      <c r="E252" s="20"/>
      <c r="F252" s="20"/>
      <c r="G252" s="11" t="str">
        <f aca="false">IF(OR(D252="",E252=""),"",IF(E252+10-IF(F252="",10,F252)&lt;=1,D252,ROUND(D252*(1+(E252+10-IF(F252="",10,F252))/30),1)))</f>
        <v/>
      </c>
      <c r="H252" s="20"/>
      <c r="I252" s="20"/>
      <c r="J252" s="11" t="str">
        <f aca="false">IF(OR(C252="",G252=""),"",IF(_xlfn.MAXIFS($G$13:G251,$C$13:C251,C252)=0,"",_xlfn.MAXIFS($G$13:G251,$C$13:C251,C252)))</f>
        <v/>
      </c>
      <c r="K252" s="11" t="str">
        <f aca="false">IF(OR(G252="",J252=""),"",IF(G252&lt;0.95*J252,"Below trend","OK"))</f>
        <v/>
      </c>
    </row>
    <row r="253" customFormat="false" ht="15" hidden="false" customHeight="false" outlineLevel="0" collapsed="false">
      <c r="A253" s="51"/>
      <c r="B253" s="11" t="str">
        <f aca="false">IF(A253="","",INT((A253-'Start here'!$C$5)/7)+1)</f>
        <v/>
      </c>
      <c r="C253" s="20"/>
      <c r="D253" s="20"/>
      <c r="E253" s="20"/>
      <c r="F253" s="20"/>
      <c r="G253" s="11" t="str">
        <f aca="false">IF(OR(D253="",E253=""),"",IF(E253+10-IF(F253="",10,F253)&lt;=1,D253,ROUND(D253*(1+(E253+10-IF(F253="",10,F253))/30),1)))</f>
        <v/>
      </c>
      <c r="H253" s="20"/>
      <c r="I253" s="20"/>
      <c r="J253" s="11" t="str">
        <f aca="false">IF(OR(C253="",G253=""),"",IF(_xlfn.MAXIFS($G$13:G252,$C$13:C252,C253)=0,"",_xlfn.MAXIFS($G$13:G252,$C$13:C252,C253)))</f>
        <v/>
      </c>
      <c r="K253" s="11" t="str">
        <f aca="false">IF(OR(G253="",J253=""),"",IF(G253&lt;0.95*J253,"Below trend","OK"))</f>
        <v/>
      </c>
    </row>
    <row r="254" customFormat="false" ht="15" hidden="false" customHeight="false" outlineLevel="0" collapsed="false">
      <c r="A254" s="51"/>
      <c r="B254" s="11" t="str">
        <f aca="false">IF(A254="","",INT((A254-'Start here'!$C$5)/7)+1)</f>
        <v/>
      </c>
      <c r="C254" s="20"/>
      <c r="D254" s="20"/>
      <c r="E254" s="20"/>
      <c r="F254" s="20"/>
      <c r="G254" s="11" t="str">
        <f aca="false">IF(OR(D254="",E254=""),"",IF(E254+10-IF(F254="",10,F254)&lt;=1,D254,ROUND(D254*(1+(E254+10-IF(F254="",10,F254))/30),1)))</f>
        <v/>
      </c>
      <c r="H254" s="20"/>
      <c r="I254" s="20"/>
      <c r="J254" s="11" t="str">
        <f aca="false">IF(OR(C254="",G254=""),"",IF(_xlfn.MAXIFS($G$13:G253,$C$13:C253,C254)=0,"",_xlfn.MAXIFS($G$13:G253,$C$13:C253,C254)))</f>
        <v/>
      </c>
      <c r="K254" s="11" t="str">
        <f aca="false">IF(OR(G254="",J254=""),"",IF(G254&lt;0.95*J254,"Below trend","OK"))</f>
        <v/>
      </c>
    </row>
    <row r="255" customFormat="false" ht="15" hidden="false" customHeight="false" outlineLevel="0" collapsed="false">
      <c r="A255" s="51"/>
      <c r="B255" s="11" t="str">
        <f aca="false">IF(A255="","",INT((A255-'Start here'!$C$5)/7)+1)</f>
        <v/>
      </c>
      <c r="C255" s="20"/>
      <c r="D255" s="20"/>
      <c r="E255" s="20"/>
      <c r="F255" s="20"/>
      <c r="G255" s="11" t="str">
        <f aca="false">IF(OR(D255="",E255=""),"",IF(E255+10-IF(F255="",10,F255)&lt;=1,D255,ROUND(D255*(1+(E255+10-IF(F255="",10,F255))/30),1)))</f>
        <v/>
      </c>
      <c r="H255" s="20"/>
      <c r="I255" s="20"/>
      <c r="J255" s="11" t="str">
        <f aca="false">IF(OR(C255="",G255=""),"",IF(_xlfn.MAXIFS($G$13:G254,$C$13:C254,C255)=0,"",_xlfn.MAXIFS($G$13:G254,$C$13:C254,C255)))</f>
        <v/>
      </c>
      <c r="K255" s="11" t="str">
        <f aca="false">IF(OR(G255="",J255=""),"",IF(G255&lt;0.95*J255,"Below trend","OK"))</f>
        <v/>
      </c>
    </row>
    <row r="256" customFormat="false" ht="15" hidden="false" customHeight="false" outlineLevel="0" collapsed="false">
      <c r="A256" s="51"/>
      <c r="B256" s="11" t="str">
        <f aca="false">IF(A256="","",INT((A256-'Start here'!$C$5)/7)+1)</f>
        <v/>
      </c>
      <c r="C256" s="20"/>
      <c r="D256" s="20"/>
      <c r="E256" s="20"/>
      <c r="F256" s="20"/>
      <c r="G256" s="11" t="str">
        <f aca="false">IF(OR(D256="",E256=""),"",IF(E256+10-IF(F256="",10,F256)&lt;=1,D256,ROUND(D256*(1+(E256+10-IF(F256="",10,F256))/30),1)))</f>
        <v/>
      </c>
      <c r="H256" s="20"/>
      <c r="I256" s="20"/>
      <c r="J256" s="11" t="str">
        <f aca="false">IF(OR(C256="",G256=""),"",IF(_xlfn.MAXIFS($G$13:G255,$C$13:C255,C256)=0,"",_xlfn.MAXIFS($G$13:G255,$C$13:C255,C256)))</f>
        <v/>
      </c>
      <c r="K256" s="11" t="str">
        <f aca="false">IF(OR(G256="",J256=""),"",IF(G256&lt;0.95*J256,"Below trend","OK"))</f>
        <v/>
      </c>
    </row>
    <row r="257" customFormat="false" ht="15" hidden="false" customHeight="false" outlineLevel="0" collapsed="false">
      <c r="A257" s="51"/>
      <c r="B257" s="11" t="str">
        <f aca="false">IF(A257="","",INT((A257-'Start here'!$C$5)/7)+1)</f>
        <v/>
      </c>
      <c r="C257" s="20"/>
      <c r="D257" s="20"/>
      <c r="E257" s="20"/>
      <c r="F257" s="20"/>
      <c r="G257" s="11" t="str">
        <f aca="false">IF(OR(D257="",E257=""),"",IF(E257+10-IF(F257="",10,F257)&lt;=1,D257,ROUND(D257*(1+(E257+10-IF(F257="",10,F257))/30),1)))</f>
        <v/>
      </c>
      <c r="H257" s="20"/>
      <c r="I257" s="20"/>
      <c r="J257" s="11" t="str">
        <f aca="false">IF(OR(C257="",G257=""),"",IF(_xlfn.MAXIFS($G$13:G256,$C$13:C256,C257)=0,"",_xlfn.MAXIFS($G$13:G256,$C$13:C256,C257)))</f>
        <v/>
      </c>
      <c r="K257" s="11" t="str">
        <f aca="false">IF(OR(G257="",J257=""),"",IF(G257&lt;0.95*J257,"Below trend","OK"))</f>
        <v/>
      </c>
    </row>
    <row r="258" customFormat="false" ht="15" hidden="false" customHeight="false" outlineLevel="0" collapsed="false">
      <c r="A258" s="51"/>
      <c r="B258" s="11" t="str">
        <f aca="false">IF(A258="","",INT((A258-'Start here'!$C$5)/7)+1)</f>
        <v/>
      </c>
      <c r="C258" s="20"/>
      <c r="D258" s="20"/>
      <c r="E258" s="20"/>
      <c r="F258" s="20"/>
      <c r="G258" s="11" t="str">
        <f aca="false">IF(OR(D258="",E258=""),"",IF(E258+10-IF(F258="",10,F258)&lt;=1,D258,ROUND(D258*(1+(E258+10-IF(F258="",10,F258))/30),1)))</f>
        <v/>
      </c>
      <c r="H258" s="20"/>
      <c r="I258" s="20"/>
      <c r="J258" s="11" t="str">
        <f aca="false">IF(OR(C258="",G258=""),"",IF(_xlfn.MAXIFS($G$13:G257,$C$13:C257,C258)=0,"",_xlfn.MAXIFS($G$13:G257,$C$13:C257,C258)))</f>
        <v/>
      </c>
      <c r="K258" s="11" t="str">
        <f aca="false">IF(OR(G258="",J258=""),"",IF(G258&lt;0.95*J258,"Below trend","OK"))</f>
        <v/>
      </c>
    </row>
    <row r="259" customFormat="false" ht="15" hidden="false" customHeight="false" outlineLevel="0" collapsed="false">
      <c r="A259" s="51"/>
      <c r="B259" s="11" t="str">
        <f aca="false">IF(A259="","",INT((A259-'Start here'!$C$5)/7)+1)</f>
        <v/>
      </c>
      <c r="C259" s="20"/>
      <c r="D259" s="20"/>
      <c r="E259" s="20"/>
      <c r="F259" s="20"/>
      <c r="G259" s="11" t="str">
        <f aca="false">IF(OR(D259="",E259=""),"",IF(E259+10-IF(F259="",10,F259)&lt;=1,D259,ROUND(D259*(1+(E259+10-IF(F259="",10,F259))/30),1)))</f>
        <v/>
      </c>
      <c r="H259" s="20"/>
      <c r="I259" s="20"/>
      <c r="J259" s="11" t="str">
        <f aca="false">IF(OR(C259="",G259=""),"",IF(_xlfn.MAXIFS($G$13:G258,$C$13:C258,C259)=0,"",_xlfn.MAXIFS($G$13:G258,$C$13:C258,C259)))</f>
        <v/>
      </c>
      <c r="K259" s="11" t="str">
        <f aca="false">IF(OR(G259="",J259=""),"",IF(G259&lt;0.95*J259,"Below trend","OK"))</f>
        <v/>
      </c>
    </row>
    <row r="260" customFormat="false" ht="15" hidden="false" customHeight="false" outlineLevel="0" collapsed="false">
      <c r="A260" s="51"/>
      <c r="B260" s="11" t="str">
        <f aca="false">IF(A260="","",INT((A260-'Start here'!$C$5)/7)+1)</f>
        <v/>
      </c>
      <c r="C260" s="20"/>
      <c r="D260" s="20"/>
      <c r="E260" s="20"/>
      <c r="F260" s="20"/>
      <c r="G260" s="11" t="str">
        <f aca="false">IF(OR(D260="",E260=""),"",IF(E260+10-IF(F260="",10,F260)&lt;=1,D260,ROUND(D260*(1+(E260+10-IF(F260="",10,F260))/30),1)))</f>
        <v/>
      </c>
      <c r="H260" s="20"/>
      <c r="I260" s="20"/>
      <c r="J260" s="11" t="str">
        <f aca="false">IF(OR(C260="",G260=""),"",IF(_xlfn.MAXIFS($G$13:G259,$C$13:C259,C260)=0,"",_xlfn.MAXIFS($G$13:G259,$C$13:C259,C260)))</f>
        <v/>
      </c>
      <c r="K260" s="11" t="str">
        <f aca="false">IF(OR(G260="",J260=""),"",IF(G260&lt;0.95*J260,"Below trend","OK"))</f>
        <v/>
      </c>
    </row>
    <row r="261" customFormat="false" ht="15" hidden="false" customHeight="false" outlineLevel="0" collapsed="false">
      <c r="A261" s="51"/>
      <c r="B261" s="11" t="str">
        <f aca="false">IF(A261="","",INT((A261-'Start here'!$C$5)/7)+1)</f>
        <v/>
      </c>
      <c r="C261" s="20"/>
      <c r="D261" s="20"/>
      <c r="E261" s="20"/>
      <c r="F261" s="20"/>
      <c r="G261" s="11" t="str">
        <f aca="false">IF(OR(D261="",E261=""),"",IF(E261+10-IF(F261="",10,F261)&lt;=1,D261,ROUND(D261*(1+(E261+10-IF(F261="",10,F261))/30),1)))</f>
        <v/>
      </c>
      <c r="H261" s="20"/>
      <c r="I261" s="20"/>
      <c r="J261" s="11" t="str">
        <f aca="false">IF(OR(C261="",G261=""),"",IF(_xlfn.MAXIFS($G$13:G260,$C$13:C260,C261)=0,"",_xlfn.MAXIFS($G$13:G260,$C$13:C260,C261)))</f>
        <v/>
      </c>
      <c r="K261" s="11" t="str">
        <f aca="false">IF(OR(G261="",J261=""),"",IF(G261&lt;0.95*J261,"Below trend","OK"))</f>
        <v/>
      </c>
    </row>
    <row r="262" customFormat="false" ht="15" hidden="false" customHeight="false" outlineLevel="0" collapsed="false">
      <c r="A262" s="51"/>
      <c r="B262" s="11" t="str">
        <f aca="false">IF(A262="","",INT((A262-'Start here'!$C$5)/7)+1)</f>
        <v/>
      </c>
      <c r="C262" s="20"/>
      <c r="D262" s="20"/>
      <c r="E262" s="20"/>
      <c r="F262" s="20"/>
      <c r="G262" s="11" t="str">
        <f aca="false">IF(OR(D262="",E262=""),"",IF(E262+10-IF(F262="",10,F262)&lt;=1,D262,ROUND(D262*(1+(E262+10-IF(F262="",10,F262))/30),1)))</f>
        <v/>
      </c>
      <c r="H262" s="20"/>
      <c r="I262" s="20"/>
      <c r="J262" s="11" t="str">
        <f aca="false">IF(OR(C262="",G262=""),"",IF(_xlfn.MAXIFS($G$13:G261,$C$13:C261,C262)=0,"",_xlfn.MAXIFS($G$13:G261,$C$13:C261,C262)))</f>
        <v/>
      </c>
      <c r="K262" s="11" t="str">
        <f aca="false">IF(OR(G262="",J262=""),"",IF(G262&lt;0.95*J262,"Below trend","OK"))</f>
        <v/>
      </c>
    </row>
    <row r="263" customFormat="false" ht="15" hidden="false" customHeight="false" outlineLevel="0" collapsed="false">
      <c r="A263" s="51"/>
      <c r="B263" s="11" t="str">
        <f aca="false">IF(A263="","",INT((A263-'Start here'!$C$5)/7)+1)</f>
        <v/>
      </c>
      <c r="C263" s="20"/>
      <c r="D263" s="20"/>
      <c r="E263" s="20"/>
      <c r="F263" s="20"/>
      <c r="G263" s="11" t="str">
        <f aca="false">IF(OR(D263="",E263=""),"",IF(E263+10-IF(F263="",10,F263)&lt;=1,D263,ROUND(D263*(1+(E263+10-IF(F263="",10,F263))/30),1)))</f>
        <v/>
      </c>
      <c r="H263" s="20"/>
      <c r="I263" s="20"/>
      <c r="J263" s="11" t="str">
        <f aca="false">IF(OR(C263="",G263=""),"",IF(_xlfn.MAXIFS($G$13:G262,$C$13:C262,C263)=0,"",_xlfn.MAXIFS($G$13:G262,$C$13:C262,C263)))</f>
        <v/>
      </c>
      <c r="K263" s="11" t="str">
        <f aca="false">IF(OR(G263="",J263=""),"",IF(G263&lt;0.95*J263,"Below trend","OK"))</f>
        <v/>
      </c>
    </row>
    <row r="264" customFormat="false" ht="15" hidden="false" customHeight="false" outlineLevel="0" collapsed="false">
      <c r="A264" s="51"/>
      <c r="B264" s="11" t="str">
        <f aca="false">IF(A264="","",INT((A264-'Start here'!$C$5)/7)+1)</f>
        <v/>
      </c>
      <c r="C264" s="20"/>
      <c r="D264" s="20"/>
      <c r="E264" s="20"/>
      <c r="F264" s="20"/>
      <c r="G264" s="11" t="str">
        <f aca="false">IF(OR(D264="",E264=""),"",IF(E264+10-IF(F264="",10,F264)&lt;=1,D264,ROUND(D264*(1+(E264+10-IF(F264="",10,F264))/30),1)))</f>
        <v/>
      </c>
      <c r="H264" s="20"/>
      <c r="I264" s="20"/>
      <c r="J264" s="11" t="str">
        <f aca="false">IF(OR(C264="",G264=""),"",IF(_xlfn.MAXIFS($G$13:G263,$C$13:C263,C264)=0,"",_xlfn.MAXIFS($G$13:G263,$C$13:C263,C264)))</f>
        <v/>
      </c>
      <c r="K264" s="11" t="str">
        <f aca="false">IF(OR(G264="",J264=""),"",IF(G264&lt;0.95*J264,"Below trend","OK"))</f>
        <v/>
      </c>
    </row>
    <row r="265" customFormat="false" ht="15" hidden="false" customHeight="false" outlineLevel="0" collapsed="false">
      <c r="A265" s="51"/>
      <c r="B265" s="11" t="str">
        <f aca="false">IF(A265="","",INT((A265-'Start here'!$C$5)/7)+1)</f>
        <v/>
      </c>
      <c r="C265" s="20"/>
      <c r="D265" s="20"/>
      <c r="E265" s="20"/>
      <c r="F265" s="20"/>
      <c r="G265" s="11" t="str">
        <f aca="false">IF(OR(D265="",E265=""),"",IF(E265+10-IF(F265="",10,F265)&lt;=1,D265,ROUND(D265*(1+(E265+10-IF(F265="",10,F265))/30),1)))</f>
        <v/>
      </c>
      <c r="H265" s="20"/>
      <c r="I265" s="20"/>
      <c r="J265" s="11" t="str">
        <f aca="false">IF(OR(C265="",G265=""),"",IF(_xlfn.MAXIFS($G$13:G264,$C$13:C264,C265)=0,"",_xlfn.MAXIFS($G$13:G264,$C$13:C264,C265)))</f>
        <v/>
      </c>
      <c r="K265" s="11" t="str">
        <f aca="false">IF(OR(G265="",J265=""),"",IF(G265&lt;0.95*J265,"Below trend","OK"))</f>
        <v/>
      </c>
    </row>
    <row r="266" customFormat="false" ht="15" hidden="false" customHeight="false" outlineLevel="0" collapsed="false">
      <c r="A266" s="51"/>
      <c r="B266" s="11" t="str">
        <f aca="false">IF(A266="","",INT((A266-'Start here'!$C$5)/7)+1)</f>
        <v/>
      </c>
      <c r="C266" s="20"/>
      <c r="D266" s="20"/>
      <c r="E266" s="20"/>
      <c r="F266" s="20"/>
      <c r="G266" s="11" t="str">
        <f aca="false">IF(OR(D266="",E266=""),"",IF(E266+10-IF(F266="",10,F266)&lt;=1,D266,ROUND(D266*(1+(E266+10-IF(F266="",10,F266))/30),1)))</f>
        <v/>
      </c>
      <c r="H266" s="20"/>
      <c r="I266" s="20"/>
      <c r="J266" s="11" t="str">
        <f aca="false">IF(OR(C266="",G266=""),"",IF(_xlfn.MAXIFS($G$13:G265,$C$13:C265,C266)=0,"",_xlfn.MAXIFS($G$13:G265,$C$13:C265,C266)))</f>
        <v/>
      </c>
      <c r="K266" s="11" t="str">
        <f aca="false">IF(OR(G266="",J266=""),"",IF(G266&lt;0.95*J266,"Below trend","OK"))</f>
        <v/>
      </c>
    </row>
    <row r="267" customFormat="false" ht="15" hidden="false" customHeight="false" outlineLevel="0" collapsed="false">
      <c r="A267" s="51"/>
      <c r="B267" s="11" t="str">
        <f aca="false">IF(A267="","",INT((A267-'Start here'!$C$5)/7)+1)</f>
        <v/>
      </c>
      <c r="C267" s="20"/>
      <c r="D267" s="20"/>
      <c r="E267" s="20"/>
      <c r="F267" s="20"/>
      <c r="G267" s="11" t="str">
        <f aca="false">IF(OR(D267="",E267=""),"",IF(E267+10-IF(F267="",10,F267)&lt;=1,D267,ROUND(D267*(1+(E267+10-IF(F267="",10,F267))/30),1)))</f>
        <v/>
      </c>
      <c r="H267" s="20"/>
      <c r="I267" s="20"/>
      <c r="J267" s="11" t="str">
        <f aca="false">IF(OR(C267="",G267=""),"",IF(_xlfn.MAXIFS($G$13:G266,$C$13:C266,C267)=0,"",_xlfn.MAXIFS($G$13:G266,$C$13:C266,C267)))</f>
        <v/>
      </c>
      <c r="K267" s="11" t="str">
        <f aca="false">IF(OR(G267="",J267=""),"",IF(G267&lt;0.95*J267,"Below trend","OK"))</f>
        <v/>
      </c>
    </row>
    <row r="268" customFormat="false" ht="15" hidden="false" customHeight="false" outlineLevel="0" collapsed="false">
      <c r="A268" s="51"/>
      <c r="B268" s="11" t="str">
        <f aca="false">IF(A268="","",INT((A268-'Start here'!$C$5)/7)+1)</f>
        <v/>
      </c>
      <c r="C268" s="20"/>
      <c r="D268" s="20"/>
      <c r="E268" s="20"/>
      <c r="F268" s="20"/>
      <c r="G268" s="11" t="str">
        <f aca="false">IF(OR(D268="",E268=""),"",IF(E268+10-IF(F268="",10,F268)&lt;=1,D268,ROUND(D268*(1+(E268+10-IF(F268="",10,F268))/30),1)))</f>
        <v/>
      </c>
      <c r="H268" s="20"/>
      <c r="I268" s="20"/>
      <c r="J268" s="11" t="str">
        <f aca="false">IF(OR(C268="",G268=""),"",IF(_xlfn.MAXIFS($G$13:G267,$C$13:C267,C268)=0,"",_xlfn.MAXIFS($G$13:G267,$C$13:C267,C268)))</f>
        <v/>
      </c>
      <c r="K268" s="11" t="str">
        <f aca="false">IF(OR(G268="",J268=""),"",IF(G268&lt;0.95*J268,"Below trend","OK"))</f>
        <v/>
      </c>
    </row>
    <row r="269" customFormat="false" ht="15" hidden="false" customHeight="false" outlineLevel="0" collapsed="false">
      <c r="A269" s="51"/>
      <c r="B269" s="11" t="str">
        <f aca="false">IF(A269="","",INT((A269-'Start here'!$C$5)/7)+1)</f>
        <v/>
      </c>
      <c r="C269" s="20"/>
      <c r="D269" s="20"/>
      <c r="E269" s="20"/>
      <c r="F269" s="20"/>
      <c r="G269" s="11" t="str">
        <f aca="false">IF(OR(D269="",E269=""),"",IF(E269+10-IF(F269="",10,F269)&lt;=1,D269,ROUND(D269*(1+(E269+10-IF(F269="",10,F269))/30),1)))</f>
        <v/>
      </c>
      <c r="H269" s="20"/>
      <c r="I269" s="20"/>
      <c r="J269" s="11" t="str">
        <f aca="false">IF(OR(C269="",G269=""),"",IF(_xlfn.MAXIFS($G$13:G268,$C$13:C268,C269)=0,"",_xlfn.MAXIFS($G$13:G268,$C$13:C268,C269)))</f>
        <v/>
      </c>
      <c r="K269" s="11" t="str">
        <f aca="false">IF(OR(G269="",J269=""),"",IF(G269&lt;0.95*J269,"Below trend","OK"))</f>
        <v/>
      </c>
    </row>
    <row r="270" customFormat="false" ht="15" hidden="false" customHeight="false" outlineLevel="0" collapsed="false">
      <c r="A270" s="51"/>
      <c r="B270" s="11" t="str">
        <f aca="false">IF(A270="","",INT((A270-'Start here'!$C$5)/7)+1)</f>
        <v/>
      </c>
      <c r="C270" s="20"/>
      <c r="D270" s="20"/>
      <c r="E270" s="20"/>
      <c r="F270" s="20"/>
      <c r="G270" s="11" t="str">
        <f aca="false">IF(OR(D270="",E270=""),"",IF(E270+10-IF(F270="",10,F270)&lt;=1,D270,ROUND(D270*(1+(E270+10-IF(F270="",10,F270))/30),1)))</f>
        <v/>
      </c>
      <c r="H270" s="20"/>
      <c r="I270" s="20"/>
      <c r="J270" s="11" t="str">
        <f aca="false">IF(OR(C270="",G270=""),"",IF(_xlfn.MAXIFS($G$13:G269,$C$13:C269,C270)=0,"",_xlfn.MAXIFS($G$13:G269,$C$13:C269,C270)))</f>
        <v/>
      </c>
      <c r="K270" s="11" t="str">
        <f aca="false">IF(OR(G270="",J270=""),"",IF(G270&lt;0.95*J270,"Below trend","OK"))</f>
        <v/>
      </c>
    </row>
    <row r="271" customFormat="false" ht="15" hidden="false" customHeight="false" outlineLevel="0" collapsed="false">
      <c r="A271" s="51"/>
      <c r="B271" s="11" t="str">
        <f aca="false">IF(A271="","",INT((A271-'Start here'!$C$5)/7)+1)</f>
        <v/>
      </c>
      <c r="C271" s="20"/>
      <c r="D271" s="20"/>
      <c r="E271" s="20"/>
      <c r="F271" s="20"/>
      <c r="G271" s="11" t="str">
        <f aca="false">IF(OR(D271="",E271=""),"",IF(E271+10-IF(F271="",10,F271)&lt;=1,D271,ROUND(D271*(1+(E271+10-IF(F271="",10,F271))/30),1)))</f>
        <v/>
      </c>
      <c r="H271" s="20"/>
      <c r="I271" s="20"/>
      <c r="J271" s="11" t="str">
        <f aca="false">IF(OR(C271="",G271=""),"",IF(_xlfn.MAXIFS($G$13:G270,$C$13:C270,C271)=0,"",_xlfn.MAXIFS($G$13:G270,$C$13:C270,C271)))</f>
        <v/>
      </c>
      <c r="K271" s="11" t="str">
        <f aca="false">IF(OR(G271="",J271=""),"",IF(G271&lt;0.95*J271,"Below trend","OK"))</f>
        <v/>
      </c>
    </row>
    <row r="272" customFormat="false" ht="15" hidden="false" customHeight="false" outlineLevel="0" collapsed="false">
      <c r="A272" s="51"/>
      <c r="B272" s="11" t="str">
        <f aca="false">IF(A272="","",INT((A272-'Start here'!$C$5)/7)+1)</f>
        <v/>
      </c>
      <c r="C272" s="20"/>
      <c r="D272" s="20"/>
      <c r="E272" s="20"/>
      <c r="F272" s="20"/>
      <c r="G272" s="11" t="str">
        <f aca="false">IF(OR(D272="",E272=""),"",IF(E272+10-IF(F272="",10,F272)&lt;=1,D272,ROUND(D272*(1+(E272+10-IF(F272="",10,F272))/30),1)))</f>
        <v/>
      </c>
      <c r="H272" s="20"/>
      <c r="I272" s="20"/>
      <c r="J272" s="11" t="str">
        <f aca="false">IF(OR(C272="",G272=""),"",IF(_xlfn.MAXIFS($G$13:G271,$C$13:C271,C272)=0,"",_xlfn.MAXIFS($G$13:G271,$C$13:C271,C272)))</f>
        <v/>
      </c>
      <c r="K272" s="11" t="str">
        <f aca="false">IF(OR(G272="",J272=""),"",IF(G272&lt;0.95*J272,"Below trend","OK"))</f>
        <v/>
      </c>
    </row>
    <row r="273" customFormat="false" ht="15" hidden="false" customHeight="false" outlineLevel="0" collapsed="false">
      <c r="A273" s="51"/>
      <c r="B273" s="11" t="str">
        <f aca="false">IF(A273="","",INT((A273-'Start here'!$C$5)/7)+1)</f>
        <v/>
      </c>
      <c r="C273" s="20"/>
      <c r="D273" s="20"/>
      <c r="E273" s="20"/>
      <c r="F273" s="20"/>
      <c r="G273" s="11" t="str">
        <f aca="false">IF(OR(D273="",E273=""),"",IF(E273+10-IF(F273="",10,F273)&lt;=1,D273,ROUND(D273*(1+(E273+10-IF(F273="",10,F273))/30),1)))</f>
        <v/>
      </c>
      <c r="H273" s="20"/>
      <c r="I273" s="20"/>
      <c r="J273" s="11" t="str">
        <f aca="false">IF(OR(C273="",G273=""),"",IF(_xlfn.MAXIFS($G$13:G272,$C$13:C272,C273)=0,"",_xlfn.MAXIFS($G$13:G272,$C$13:C272,C273)))</f>
        <v/>
      </c>
      <c r="K273" s="11" t="str">
        <f aca="false">IF(OR(G273="",J273=""),"",IF(G273&lt;0.95*J273,"Below trend","OK"))</f>
        <v/>
      </c>
    </row>
    <row r="274" customFormat="false" ht="15" hidden="false" customHeight="false" outlineLevel="0" collapsed="false">
      <c r="A274" s="51"/>
      <c r="B274" s="11" t="str">
        <f aca="false">IF(A274="","",INT((A274-'Start here'!$C$5)/7)+1)</f>
        <v/>
      </c>
      <c r="C274" s="20"/>
      <c r="D274" s="20"/>
      <c r="E274" s="20"/>
      <c r="F274" s="20"/>
      <c r="G274" s="11" t="str">
        <f aca="false">IF(OR(D274="",E274=""),"",IF(E274+10-IF(F274="",10,F274)&lt;=1,D274,ROUND(D274*(1+(E274+10-IF(F274="",10,F274))/30),1)))</f>
        <v/>
      </c>
      <c r="H274" s="20"/>
      <c r="I274" s="20"/>
      <c r="J274" s="11" t="str">
        <f aca="false">IF(OR(C274="",G274=""),"",IF(_xlfn.MAXIFS($G$13:G273,$C$13:C273,C274)=0,"",_xlfn.MAXIFS($G$13:G273,$C$13:C273,C274)))</f>
        <v/>
      </c>
      <c r="K274" s="11" t="str">
        <f aca="false">IF(OR(G274="",J274=""),"",IF(G274&lt;0.95*J274,"Below trend","OK"))</f>
        <v/>
      </c>
    </row>
    <row r="275" customFormat="false" ht="15" hidden="false" customHeight="false" outlineLevel="0" collapsed="false">
      <c r="A275" s="51"/>
      <c r="B275" s="11" t="str">
        <f aca="false">IF(A275="","",INT((A275-'Start here'!$C$5)/7)+1)</f>
        <v/>
      </c>
      <c r="C275" s="20"/>
      <c r="D275" s="20"/>
      <c r="E275" s="20"/>
      <c r="F275" s="20"/>
      <c r="G275" s="11" t="str">
        <f aca="false">IF(OR(D275="",E275=""),"",IF(E275+10-IF(F275="",10,F275)&lt;=1,D275,ROUND(D275*(1+(E275+10-IF(F275="",10,F275))/30),1)))</f>
        <v/>
      </c>
      <c r="H275" s="20"/>
      <c r="I275" s="20"/>
      <c r="J275" s="11" t="str">
        <f aca="false">IF(OR(C275="",G275=""),"",IF(_xlfn.MAXIFS($G$13:G274,$C$13:C274,C275)=0,"",_xlfn.MAXIFS($G$13:G274,$C$13:C274,C275)))</f>
        <v/>
      </c>
      <c r="K275" s="11" t="str">
        <f aca="false">IF(OR(G275="",J275=""),"",IF(G275&lt;0.95*J275,"Below trend","OK"))</f>
        <v/>
      </c>
    </row>
    <row r="276" customFormat="false" ht="15" hidden="false" customHeight="false" outlineLevel="0" collapsed="false">
      <c r="A276" s="51"/>
      <c r="B276" s="11" t="str">
        <f aca="false">IF(A276="","",INT((A276-'Start here'!$C$5)/7)+1)</f>
        <v/>
      </c>
      <c r="C276" s="20"/>
      <c r="D276" s="20"/>
      <c r="E276" s="20"/>
      <c r="F276" s="20"/>
      <c r="G276" s="11" t="str">
        <f aca="false">IF(OR(D276="",E276=""),"",IF(E276+10-IF(F276="",10,F276)&lt;=1,D276,ROUND(D276*(1+(E276+10-IF(F276="",10,F276))/30),1)))</f>
        <v/>
      </c>
      <c r="H276" s="20"/>
      <c r="I276" s="20"/>
      <c r="J276" s="11" t="str">
        <f aca="false">IF(OR(C276="",G276=""),"",IF(_xlfn.MAXIFS($G$13:G275,$C$13:C275,C276)=0,"",_xlfn.MAXIFS($G$13:G275,$C$13:C275,C276)))</f>
        <v/>
      </c>
      <c r="K276" s="11" t="str">
        <f aca="false">IF(OR(G276="",J276=""),"",IF(G276&lt;0.95*J276,"Below trend","OK"))</f>
        <v/>
      </c>
    </row>
    <row r="277" customFormat="false" ht="15" hidden="false" customHeight="false" outlineLevel="0" collapsed="false">
      <c r="A277" s="51"/>
      <c r="B277" s="11" t="str">
        <f aca="false">IF(A277="","",INT((A277-'Start here'!$C$5)/7)+1)</f>
        <v/>
      </c>
      <c r="C277" s="20"/>
      <c r="D277" s="20"/>
      <c r="E277" s="20"/>
      <c r="F277" s="20"/>
      <c r="G277" s="11" t="str">
        <f aca="false">IF(OR(D277="",E277=""),"",IF(E277+10-IF(F277="",10,F277)&lt;=1,D277,ROUND(D277*(1+(E277+10-IF(F277="",10,F277))/30),1)))</f>
        <v/>
      </c>
      <c r="H277" s="20"/>
      <c r="I277" s="20"/>
      <c r="J277" s="11" t="str">
        <f aca="false">IF(OR(C277="",G277=""),"",IF(_xlfn.MAXIFS($G$13:G276,$C$13:C276,C277)=0,"",_xlfn.MAXIFS($G$13:G276,$C$13:C276,C277)))</f>
        <v/>
      </c>
      <c r="K277" s="11" t="str">
        <f aca="false">IF(OR(G277="",J277=""),"",IF(G277&lt;0.95*J277,"Below trend","OK"))</f>
        <v/>
      </c>
    </row>
    <row r="278" customFormat="false" ht="15" hidden="false" customHeight="false" outlineLevel="0" collapsed="false">
      <c r="A278" s="51"/>
      <c r="B278" s="11" t="str">
        <f aca="false">IF(A278="","",INT((A278-'Start here'!$C$5)/7)+1)</f>
        <v/>
      </c>
      <c r="C278" s="20"/>
      <c r="D278" s="20"/>
      <c r="E278" s="20"/>
      <c r="F278" s="20"/>
      <c r="G278" s="11" t="str">
        <f aca="false">IF(OR(D278="",E278=""),"",IF(E278+10-IF(F278="",10,F278)&lt;=1,D278,ROUND(D278*(1+(E278+10-IF(F278="",10,F278))/30),1)))</f>
        <v/>
      </c>
      <c r="H278" s="20"/>
      <c r="I278" s="20"/>
      <c r="J278" s="11" t="str">
        <f aca="false">IF(OR(C278="",G278=""),"",IF(_xlfn.MAXIFS($G$13:G277,$C$13:C277,C278)=0,"",_xlfn.MAXIFS($G$13:G277,$C$13:C277,C278)))</f>
        <v/>
      </c>
      <c r="K278" s="11" t="str">
        <f aca="false">IF(OR(G278="",J278=""),"",IF(G278&lt;0.95*J278,"Below trend","OK"))</f>
        <v/>
      </c>
    </row>
    <row r="279" customFormat="false" ht="15" hidden="false" customHeight="false" outlineLevel="0" collapsed="false">
      <c r="A279" s="51"/>
      <c r="B279" s="11" t="str">
        <f aca="false">IF(A279="","",INT((A279-'Start here'!$C$5)/7)+1)</f>
        <v/>
      </c>
      <c r="C279" s="20"/>
      <c r="D279" s="20"/>
      <c r="E279" s="20"/>
      <c r="F279" s="20"/>
      <c r="G279" s="11" t="str">
        <f aca="false">IF(OR(D279="",E279=""),"",IF(E279+10-IF(F279="",10,F279)&lt;=1,D279,ROUND(D279*(1+(E279+10-IF(F279="",10,F279))/30),1)))</f>
        <v/>
      </c>
      <c r="H279" s="20"/>
      <c r="I279" s="20"/>
      <c r="J279" s="11" t="str">
        <f aca="false">IF(OR(C279="",G279=""),"",IF(_xlfn.MAXIFS($G$13:G278,$C$13:C278,C279)=0,"",_xlfn.MAXIFS($G$13:G278,$C$13:C278,C279)))</f>
        <v/>
      </c>
      <c r="K279" s="11" t="str">
        <f aca="false">IF(OR(G279="",J279=""),"",IF(G279&lt;0.95*J279,"Below trend","OK"))</f>
        <v/>
      </c>
    </row>
    <row r="280" customFormat="false" ht="15" hidden="false" customHeight="false" outlineLevel="0" collapsed="false">
      <c r="A280" s="51"/>
      <c r="B280" s="11" t="str">
        <f aca="false">IF(A280="","",INT((A280-'Start here'!$C$5)/7)+1)</f>
        <v/>
      </c>
      <c r="C280" s="20"/>
      <c r="D280" s="20"/>
      <c r="E280" s="20"/>
      <c r="F280" s="20"/>
      <c r="G280" s="11" t="str">
        <f aca="false">IF(OR(D280="",E280=""),"",IF(E280+10-IF(F280="",10,F280)&lt;=1,D280,ROUND(D280*(1+(E280+10-IF(F280="",10,F280))/30),1)))</f>
        <v/>
      </c>
      <c r="H280" s="20"/>
      <c r="I280" s="20"/>
      <c r="J280" s="11" t="str">
        <f aca="false">IF(OR(C280="",G280=""),"",IF(_xlfn.MAXIFS($G$13:G279,$C$13:C279,C280)=0,"",_xlfn.MAXIFS($G$13:G279,$C$13:C279,C280)))</f>
        <v/>
      </c>
      <c r="K280" s="11" t="str">
        <f aca="false">IF(OR(G280="",J280=""),"",IF(G280&lt;0.95*J280,"Below trend","OK"))</f>
        <v/>
      </c>
    </row>
    <row r="281" customFormat="false" ht="15" hidden="false" customHeight="false" outlineLevel="0" collapsed="false">
      <c r="A281" s="51"/>
      <c r="B281" s="11" t="str">
        <f aca="false">IF(A281="","",INT((A281-'Start here'!$C$5)/7)+1)</f>
        <v/>
      </c>
      <c r="C281" s="20"/>
      <c r="D281" s="20"/>
      <c r="E281" s="20"/>
      <c r="F281" s="20"/>
      <c r="G281" s="11" t="str">
        <f aca="false">IF(OR(D281="",E281=""),"",IF(E281+10-IF(F281="",10,F281)&lt;=1,D281,ROUND(D281*(1+(E281+10-IF(F281="",10,F281))/30),1)))</f>
        <v/>
      </c>
      <c r="H281" s="20"/>
      <c r="I281" s="20"/>
      <c r="J281" s="11" t="str">
        <f aca="false">IF(OR(C281="",G281=""),"",IF(_xlfn.MAXIFS($G$13:G280,$C$13:C280,C281)=0,"",_xlfn.MAXIFS($G$13:G280,$C$13:C280,C281)))</f>
        <v/>
      </c>
      <c r="K281" s="11" t="str">
        <f aca="false">IF(OR(G281="",J281=""),"",IF(G281&lt;0.95*J281,"Below trend","OK"))</f>
        <v/>
      </c>
    </row>
    <row r="282" customFormat="false" ht="15" hidden="false" customHeight="false" outlineLevel="0" collapsed="false">
      <c r="A282" s="51"/>
      <c r="B282" s="11" t="str">
        <f aca="false">IF(A282="","",INT((A282-'Start here'!$C$5)/7)+1)</f>
        <v/>
      </c>
      <c r="C282" s="20"/>
      <c r="D282" s="20"/>
      <c r="E282" s="20"/>
      <c r="F282" s="20"/>
      <c r="G282" s="11" t="str">
        <f aca="false">IF(OR(D282="",E282=""),"",IF(E282+10-IF(F282="",10,F282)&lt;=1,D282,ROUND(D282*(1+(E282+10-IF(F282="",10,F282))/30),1)))</f>
        <v/>
      </c>
      <c r="H282" s="20"/>
      <c r="I282" s="20"/>
      <c r="J282" s="11" t="str">
        <f aca="false">IF(OR(C282="",G282=""),"",IF(_xlfn.MAXIFS($G$13:G281,$C$13:C281,C282)=0,"",_xlfn.MAXIFS($G$13:G281,$C$13:C281,C282)))</f>
        <v/>
      </c>
      <c r="K282" s="11" t="str">
        <f aca="false">IF(OR(G282="",J282=""),"",IF(G282&lt;0.95*J282,"Below trend","OK"))</f>
        <v/>
      </c>
    </row>
    <row r="283" customFormat="false" ht="15" hidden="false" customHeight="false" outlineLevel="0" collapsed="false">
      <c r="A283" s="51"/>
      <c r="B283" s="11" t="str">
        <f aca="false">IF(A283="","",INT((A283-'Start here'!$C$5)/7)+1)</f>
        <v/>
      </c>
      <c r="C283" s="20"/>
      <c r="D283" s="20"/>
      <c r="E283" s="20"/>
      <c r="F283" s="20"/>
      <c r="G283" s="11" t="str">
        <f aca="false">IF(OR(D283="",E283=""),"",IF(E283+10-IF(F283="",10,F283)&lt;=1,D283,ROUND(D283*(1+(E283+10-IF(F283="",10,F283))/30),1)))</f>
        <v/>
      </c>
      <c r="H283" s="20"/>
      <c r="I283" s="20"/>
      <c r="J283" s="11" t="str">
        <f aca="false">IF(OR(C283="",G283=""),"",IF(_xlfn.MAXIFS($G$13:G282,$C$13:C282,C283)=0,"",_xlfn.MAXIFS($G$13:G282,$C$13:C282,C283)))</f>
        <v/>
      </c>
      <c r="K283" s="11" t="str">
        <f aca="false">IF(OR(G283="",J283=""),"",IF(G283&lt;0.95*J283,"Below trend","OK"))</f>
        <v/>
      </c>
    </row>
    <row r="284" customFormat="false" ht="15" hidden="false" customHeight="false" outlineLevel="0" collapsed="false">
      <c r="A284" s="51"/>
      <c r="B284" s="11" t="str">
        <f aca="false">IF(A284="","",INT((A284-'Start here'!$C$5)/7)+1)</f>
        <v/>
      </c>
      <c r="C284" s="20"/>
      <c r="D284" s="20"/>
      <c r="E284" s="20"/>
      <c r="F284" s="20"/>
      <c r="G284" s="11" t="str">
        <f aca="false">IF(OR(D284="",E284=""),"",IF(E284+10-IF(F284="",10,F284)&lt;=1,D284,ROUND(D284*(1+(E284+10-IF(F284="",10,F284))/30),1)))</f>
        <v/>
      </c>
      <c r="H284" s="20"/>
      <c r="I284" s="20"/>
      <c r="J284" s="11" t="str">
        <f aca="false">IF(OR(C284="",G284=""),"",IF(_xlfn.MAXIFS($G$13:G283,$C$13:C283,C284)=0,"",_xlfn.MAXIFS($G$13:G283,$C$13:C283,C284)))</f>
        <v/>
      </c>
      <c r="K284" s="11" t="str">
        <f aca="false">IF(OR(G284="",J284=""),"",IF(G284&lt;0.95*J284,"Below trend","OK"))</f>
        <v/>
      </c>
    </row>
    <row r="285" customFormat="false" ht="15" hidden="false" customHeight="false" outlineLevel="0" collapsed="false">
      <c r="A285" s="51"/>
      <c r="B285" s="11" t="str">
        <f aca="false">IF(A285="","",INT((A285-'Start here'!$C$5)/7)+1)</f>
        <v/>
      </c>
      <c r="C285" s="20"/>
      <c r="D285" s="20"/>
      <c r="E285" s="20"/>
      <c r="F285" s="20"/>
      <c r="G285" s="11" t="str">
        <f aca="false">IF(OR(D285="",E285=""),"",IF(E285+10-IF(F285="",10,F285)&lt;=1,D285,ROUND(D285*(1+(E285+10-IF(F285="",10,F285))/30),1)))</f>
        <v/>
      </c>
      <c r="H285" s="20"/>
      <c r="I285" s="20"/>
      <c r="J285" s="11" t="str">
        <f aca="false">IF(OR(C285="",G285=""),"",IF(_xlfn.MAXIFS($G$13:G284,$C$13:C284,C285)=0,"",_xlfn.MAXIFS($G$13:G284,$C$13:C284,C285)))</f>
        <v/>
      </c>
      <c r="K285" s="11" t="str">
        <f aca="false">IF(OR(G285="",J285=""),"",IF(G285&lt;0.95*J285,"Below trend","OK"))</f>
        <v/>
      </c>
    </row>
    <row r="286" customFormat="false" ht="15" hidden="false" customHeight="false" outlineLevel="0" collapsed="false">
      <c r="A286" s="51"/>
      <c r="B286" s="11" t="str">
        <f aca="false">IF(A286="","",INT((A286-'Start here'!$C$5)/7)+1)</f>
        <v/>
      </c>
      <c r="C286" s="20"/>
      <c r="D286" s="20"/>
      <c r="E286" s="20"/>
      <c r="F286" s="20"/>
      <c r="G286" s="11" t="str">
        <f aca="false">IF(OR(D286="",E286=""),"",IF(E286+10-IF(F286="",10,F286)&lt;=1,D286,ROUND(D286*(1+(E286+10-IF(F286="",10,F286))/30),1)))</f>
        <v/>
      </c>
      <c r="H286" s="20"/>
      <c r="I286" s="20"/>
      <c r="J286" s="11" t="str">
        <f aca="false">IF(OR(C286="",G286=""),"",IF(_xlfn.MAXIFS($G$13:G285,$C$13:C285,C286)=0,"",_xlfn.MAXIFS($G$13:G285,$C$13:C285,C286)))</f>
        <v/>
      </c>
      <c r="K286" s="11" t="str">
        <f aca="false">IF(OR(G286="",J286=""),"",IF(G286&lt;0.95*J286,"Below trend","OK"))</f>
        <v/>
      </c>
    </row>
    <row r="287" customFormat="false" ht="15" hidden="false" customHeight="false" outlineLevel="0" collapsed="false">
      <c r="A287" s="51"/>
      <c r="B287" s="11" t="str">
        <f aca="false">IF(A287="","",INT((A287-'Start here'!$C$5)/7)+1)</f>
        <v/>
      </c>
      <c r="C287" s="20"/>
      <c r="D287" s="20"/>
      <c r="E287" s="20"/>
      <c r="F287" s="20"/>
      <c r="G287" s="11" t="str">
        <f aca="false">IF(OR(D287="",E287=""),"",IF(E287+10-IF(F287="",10,F287)&lt;=1,D287,ROUND(D287*(1+(E287+10-IF(F287="",10,F287))/30),1)))</f>
        <v/>
      </c>
      <c r="H287" s="20"/>
      <c r="I287" s="20"/>
      <c r="J287" s="11" t="str">
        <f aca="false">IF(OR(C287="",G287=""),"",IF(_xlfn.MAXIFS($G$13:G286,$C$13:C286,C287)=0,"",_xlfn.MAXIFS($G$13:G286,$C$13:C286,C287)))</f>
        <v/>
      </c>
      <c r="K287" s="11" t="str">
        <f aca="false">IF(OR(G287="",J287=""),"",IF(G287&lt;0.95*J287,"Below trend","OK"))</f>
        <v/>
      </c>
    </row>
    <row r="288" customFormat="false" ht="15" hidden="false" customHeight="false" outlineLevel="0" collapsed="false">
      <c r="A288" s="51"/>
      <c r="B288" s="11" t="str">
        <f aca="false">IF(A288="","",INT((A288-'Start here'!$C$5)/7)+1)</f>
        <v/>
      </c>
      <c r="C288" s="20"/>
      <c r="D288" s="20"/>
      <c r="E288" s="20"/>
      <c r="F288" s="20"/>
      <c r="G288" s="11" t="str">
        <f aca="false">IF(OR(D288="",E288=""),"",IF(E288+10-IF(F288="",10,F288)&lt;=1,D288,ROUND(D288*(1+(E288+10-IF(F288="",10,F288))/30),1)))</f>
        <v/>
      </c>
      <c r="H288" s="20"/>
      <c r="I288" s="20"/>
      <c r="J288" s="11" t="str">
        <f aca="false">IF(OR(C288="",G288=""),"",IF(_xlfn.MAXIFS($G$13:G287,$C$13:C287,C288)=0,"",_xlfn.MAXIFS($G$13:G287,$C$13:C287,C288)))</f>
        <v/>
      </c>
      <c r="K288" s="11" t="str">
        <f aca="false">IF(OR(G288="",J288=""),"",IF(G288&lt;0.95*J288,"Below trend","OK"))</f>
        <v/>
      </c>
    </row>
    <row r="289" customFormat="false" ht="15" hidden="false" customHeight="false" outlineLevel="0" collapsed="false">
      <c r="A289" s="51"/>
      <c r="B289" s="11" t="str">
        <f aca="false">IF(A289="","",INT((A289-'Start here'!$C$5)/7)+1)</f>
        <v/>
      </c>
      <c r="C289" s="20"/>
      <c r="D289" s="20"/>
      <c r="E289" s="20"/>
      <c r="F289" s="20"/>
      <c r="G289" s="11" t="str">
        <f aca="false">IF(OR(D289="",E289=""),"",IF(E289+10-IF(F289="",10,F289)&lt;=1,D289,ROUND(D289*(1+(E289+10-IF(F289="",10,F289))/30),1)))</f>
        <v/>
      </c>
      <c r="H289" s="20"/>
      <c r="I289" s="20"/>
      <c r="J289" s="11" t="str">
        <f aca="false">IF(OR(C289="",G289=""),"",IF(_xlfn.MAXIFS($G$13:G288,$C$13:C288,C289)=0,"",_xlfn.MAXIFS($G$13:G288,$C$13:C288,C289)))</f>
        <v/>
      </c>
      <c r="K289" s="11" t="str">
        <f aca="false">IF(OR(G289="",J289=""),"",IF(G289&lt;0.95*J289,"Below trend","OK"))</f>
        <v/>
      </c>
    </row>
    <row r="290" customFormat="false" ht="15" hidden="false" customHeight="false" outlineLevel="0" collapsed="false">
      <c r="A290" s="51"/>
      <c r="B290" s="11" t="str">
        <f aca="false">IF(A290="","",INT((A290-'Start here'!$C$5)/7)+1)</f>
        <v/>
      </c>
      <c r="C290" s="20"/>
      <c r="D290" s="20"/>
      <c r="E290" s="20"/>
      <c r="F290" s="20"/>
      <c r="G290" s="11" t="str">
        <f aca="false">IF(OR(D290="",E290=""),"",IF(E290+10-IF(F290="",10,F290)&lt;=1,D290,ROUND(D290*(1+(E290+10-IF(F290="",10,F290))/30),1)))</f>
        <v/>
      </c>
      <c r="H290" s="20"/>
      <c r="I290" s="20"/>
      <c r="J290" s="11" t="str">
        <f aca="false">IF(OR(C290="",G290=""),"",IF(_xlfn.MAXIFS($G$13:G289,$C$13:C289,C290)=0,"",_xlfn.MAXIFS($G$13:G289,$C$13:C289,C290)))</f>
        <v/>
      </c>
      <c r="K290" s="11" t="str">
        <f aca="false">IF(OR(G290="",J290=""),"",IF(G290&lt;0.95*J290,"Below trend","OK"))</f>
        <v/>
      </c>
    </row>
    <row r="291" customFormat="false" ht="15" hidden="false" customHeight="false" outlineLevel="0" collapsed="false">
      <c r="A291" s="51"/>
      <c r="B291" s="11" t="str">
        <f aca="false">IF(A291="","",INT((A291-'Start here'!$C$5)/7)+1)</f>
        <v/>
      </c>
      <c r="C291" s="20"/>
      <c r="D291" s="20"/>
      <c r="E291" s="20"/>
      <c r="F291" s="20"/>
      <c r="G291" s="11" t="str">
        <f aca="false">IF(OR(D291="",E291=""),"",IF(E291+10-IF(F291="",10,F291)&lt;=1,D291,ROUND(D291*(1+(E291+10-IF(F291="",10,F291))/30),1)))</f>
        <v/>
      </c>
      <c r="H291" s="20"/>
      <c r="I291" s="20"/>
      <c r="J291" s="11" t="str">
        <f aca="false">IF(OR(C291="",G291=""),"",IF(_xlfn.MAXIFS($G$13:G290,$C$13:C290,C291)=0,"",_xlfn.MAXIFS($G$13:G290,$C$13:C290,C291)))</f>
        <v/>
      </c>
      <c r="K291" s="11" t="str">
        <f aca="false">IF(OR(G291="",J291=""),"",IF(G291&lt;0.95*J291,"Below trend","OK"))</f>
        <v/>
      </c>
    </row>
    <row r="292" customFormat="false" ht="15" hidden="false" customHeight="false" outlineLevel="0" collapsed="false">
      <c r="A292" s="51"/>
      <c r="B292" s="11" t="str">
        <f aca="false">IF(A292="","",INT((A292-'Start here'!$C$5)/7)+1)</f>
        <v/>
      </c>
      <c r="C292" s="20"/>
      <c r="D292" s="20"/>
      <c r="E292" s="20"/>
      <c r="F292" s="20"/>
      <c r="G292" s="11" t="str">
        <f aca="false">IF(OR(D292="",E292=""),"",IF(E292+10-IF(F292="",10,F292)&lt;=1,D292,ROUND(D292*(1+(E292+10-IF(F292="",10,F292))/30),1)))</f>
        <v/>
      </c>
      <c r="H292" s="20"/>
      <c r="I292" s="20"/>
      <c r="J292" s="11" t="str">
        <f aca="false">IF(OR(C292="",G292=""),"",IF(_xlfn.MAXIFS($G$13:G291,$C$13:C291,C292)=0,"",_xlfn.MAXIFS($G$13:G291,$C$13:C291,C292)))</f>
        <v/>
      </c>
      <c r="K292" s="11" t="str">
        <f aca="false">IF(OR(G292="",J292=""),"",IF(G292&lt;0.95*J292,"Below trend","OK"))</f>
        <v/>
      </c>
    </row>
    <row r="293" customFormat="false" ht="15" hidden="false" customHeight="false" outlineLevel="0" collapsed="false">
      <c r="A293" s="51"/>
      <c r="B293" s="11" t="str">
        <f aca="false">IF(A293="","",INT((A293-'Start here'!$C$5)/7)+1)</f>
        <v/>
      </c>
      <c r="C293" s="20"/>
      <c r="D293" s="20"/>
      <c r="E293" s="20"/>
      <c r="F293" s="20"/>
      <c r="G293" s="11" t="str">
        <f aca="false">IF(OR(D293="",E293=""),"",IF(E293+10-IF(F293="",10,F293)&lt;=1,D293,ROUND(D293*(1+(E293+10-IF(F293="",10,F293))/30),1)))</f>
        <v/>
      </c>
      <c r="H293" s="20"/>
      <c r="I293" s="20"/>
      <c r="J293" s="11" t="str">
        <f aca="false">IF(OR(C293="",G293=""),"",IF(_xlfn.MAXIFS($G$13:G292,$C$13:C292,C293)=0,"",_xlfn.MAXIFS($G$13:G292,$C$13:C292,C293)))</f>
        <v/>
      </c>
      <c r="K293" s="11" t="str">
        <f aca="false">IF(OR(G293="",J293=""),"",IF(G293&lt;0.95*J293,"Below trend","OK"))</f>
        <v/>
      </c>
    </row>
    <row r="294" customFormat="false" ht="15" hidden="false" customHeight="false" outlineLevel="0" collapsed="false">
      <c r="A294" s="51"/>
      <c r="B294" s="11" t="str">
        <f aca="false">IF(A294="","",INT((A294-'Start here'!$C$5)/7)+1)</f>
        <v/>
      </c>
      <c r="C294" s="20"/>
      <c r="D294" s="20"/>
      <c r="E294" s="20"/>
      <c r="F294" s="20"/>
      <c r="G294" s="11" t="str">
        <f aca="false">IF(OR(D294="",E294=""),"",IF(E294+10-IF(F294="",10,F294)&lt;=1,D294,ROUND(D294*(1+(E294+10-IF(F294="",10,F294))/30),1)))</f>
        <v/>
      </c>
      <c r="H294" s="20"/>
      <c r="I294" s="20"/>
      <c r="J294" s="11" t="str">
        <f aca="false">IF(OR(C294="",G294=""),"",IF(_xlfn.MAXIFS($G$13:G293,$C$13:C293,C294)=0,"",_xlfn.MAXIFS($G$13:G293,$C$13:C293,C294)))</f>
        <v/>
      </c>
      <c r="K294" s="11" t="str">
        <f aca="false">IF(OR(G294="",J294=""),"",IF(G294&lt;0.95*J294,"Below trend","OK"))</f>
        <v/>
      </c>
    </row>
    <row r="295" customFormat="false" ht="15" hidden="false" customHeight="false" outlineLevel="0" collapsed="false">
      <c r="A295" s="51"/>
      <c r="B295" s="11" t="str">
        <f aca="false">IF(A295="","",INT((A295-'Start here'!$C$5)/7)+1)</f>
        <v/>
      </c>
      <c r="C295" s="20"/>
      <c r="D295" s="20"/>
      <c r="E295" s="20"/>
      <c r="F295" s="20"/>
      <c r="G295" s="11" t="str">
        <f aca="false">IF(OR(D295="",E295=""),"",IF(E295+10-IF(F295="",10,F295)&lt;=1,D295,ROUND(D295*(1+(E295+10-IF(F295="",10,F295))/30),1)))</f>
        <v/>
      </c>
      <c r="H295" s="20"/>
      <c r="I295" s="20"/>
      <c r="J295" s="11" t="str">
        <f aca="false">IF(OR(C295="",G295=""),"",IF(_xlfn.MAXIFS($G$13:G294,$C$13:C294,C295)=0,"",_xlfn.MAXIFS($G$13:G294,$C$13:C294,C295)))</f>
        <v/>
      </c>
      <c r="K295" s="11" t="str">
        <f aca="false">IF(OR(G295="",J295=""),"",IF(G295&lt;0.95*J295,"Below trend","OK"))</f>
        <v/>
      </c>
    </row>
    <row r="296" customFormat="false" ht="15" hidden="false" customHeight="false" outlineLevel="0" collapsed="false">
      <c r="A296" s="51"/>
      <c r="B296" s="11" t="str">
        <f aca="false">IF(A296="","",INT((A296-'Start here'!$C$5)/7)+1)</f>
        <v/>
      </c>
      <c r="C296" s="20"/>
      <c r="D296" s="20"/>
      <c r="E296" s="20"/>
      <c r="F296" s="20"/>
      <c r="G296" s="11" t="str">
        <f aca="false">IF(OR(D296="",E296=""),"",IF(E296+10-IF(F296="",10,F296)&lt;=1,D296,ROUND(D296*(1+(E296+10-IF(F296="",10,F296))/30),1)))</f>
        <v/>
      </c>
      <c r="H296" s="20"/>
      <c r="I296" s="20"/>
      <c r="J296" s="11" t="str">
        <f aca="false">IF(OR(C296="",G296=""),"",IF(_xlfn.MAXIFS($G$13:G295,$C$13:C295,C296)=0,"",_xlfn.MAXIFS($G$13:G295,$C$13:C295,C296)))</f>
        <v/>
      </c>
      <c r="K296" s="11" t="str">
        <f aca="false">IF(OR(G296="",J296=""),"",IF(G296&lt;0.95*J296,"Below trend","OK"))</f>
        <v/>
      </c>
    </row>
    <row r="297" customFormat="false" ht="15" hidden="false" customHeight="false" outlineLevel="0" collapsed="false">
      <c r="A297" s="51"/>
      <c r="B297" s="11" t="str">
        <f aca="false">IF(A297="","",INT((A297-'Start here'!$C$5)/7)+1)</f>
        <v/>
      </c>
      <c r="C297" s="20"/>
      <c r="D297" s="20"/>
      <c r="E297" s="20"/>
      <c r="F297" s="20"/>
      <c r="G297" s="11" t="str">
        <f aca="false">IF(OR(D297="",E297=""),"",IF(E297+10-IF(F297="",10,F297)&lt;=1,D297,ROUND(D297*(1+(E297+10-IF(F297="",10,F297))/30),1)))</f>
        <v/>
      </c>
      <c r="H297" s="20"/>
      <c r="I297" s="20"/>
      <c r="J297" s="11" t="str">
        <f aca="false">IF(OR(C297="",G297=""),"",IF(_xlfn.MAXIFS($G$13:G296,$C$13:C296,C297)=0,"",_xlfn.MAXIFS($G$13:G296,$C$13:C296,C297)))</f>
        <v/>
      </c>
      <c r="K297" s="11" t="str">
        <f aca="false">IF(OR(G297="",J297=""),"",IF(G297&lt;0.95*J297,"Below trend","OK"))</f>
        <v/>
      </c>
    </row>
    <row r="298" customFormat="false" ht="15" hidden="false" customHeight="false" outlineLevel="0" collapsed="false">
      <c r="A298" s="51"/>
      <c r="B298" s="11" t="str">
        <f aca="false">IF(A298="","",INT((A298-'Start here'!$C$5)/7)+1)</f>
        <v/>
      </c>
      <c r="C298" s="20"/>
      <c r="D298" s="20"/>
      <c r="E298" s="20"/>
      <c r="F298" s="20"/>
      <c r="G298" s="11" t="str">
        <f aca="false">IF(OR(D298="",E298=""),"",IF(E298+10-IF(F298="",10,F298)&lt;=1,D298,ROUND(D298*(1+(E298+10-IF(F298="",10,F298))/30),1)))</f>
        <v/>
      </c>
      <c r="H298" s="20"/>
      <c r="I298" s="20"/>
      <c r="J298" s="11" t="str">
        <f aca="false">IF(OR(C298="",G298=""),"",IF(_xlfn.MAXIFS($G$13:G297,$C$13:C297,C298)=0,"",_xlfn.MAXIFS($G$13:G297,$C$13:C297,C298)))</f>
        <v/>
      </c>
      <c r="K298" s="11" t="str">
        <f aca="false">IF(OR(G298="",J298=""),"",IF(G298&lt;0.95*J298,"Below trend","OK"))</f>
        <v/>
      </c>
    </row>
    <row r="299" customFormat="false" ht="15" hidden="false" customHeight="false" outlineLevel="0" collapsed="false">
      <c r="A299" s="51"/>
      <c r="B299" s="11" t="str">
        <f aca="false">IF(A299="","",INT((A299-'Start here'!$C$5)/7)+1)</f>
        <v/>
      </c>
      <c r="C299" s="20"/>
      <c r="D299" s="20"/>
      <c r="E299" s="20"/>
      <c r="F299" s="20"/>
      <c r="G299" s="11" t="str">
        <f aca="false">IF(OR(D299="",E299=""),"",IF(E299+10-IF(F299="",10,F299)&lt;=1,D299,ROUND(D299*(1+(E299+10-IF(F299="",10,F299))/30),1)))</f>
        <v/>
      </c>
      <c r="H299" s="20"/>
      <c r="I299" s="20"/>
      <c r="J299" s="11" t="str">
        <f aca="false">IF(OR(C299="",G299=""),"",IF(_xlfn.MAXIFS($G$13:G298,$C$13:C298,C299)=0,"",_xlfn.MAXIFS($G$13:G298,$C$13:C298,C299)))</f>
        <v/>
      </c>
      <c r="K299" s="11" t="str">
        <f aca="false">IF(OR(G299="",J299=""),"",IF(G299&lt;0.95*J299,"Below trend","OK"))</f>
        <v/>
      </c>
    </row>
    <row r="300" customFormat="false" ht="15" hidden="false" customHeight="false" outlineLevel="0" collapsed="false">
      <c r="A300" s="51"/>
      <c r="B300" s="11" t="str">
        <f aca="false">IF(A300="","",INT((A300-'Start here'!$C$5)/7)+1)</f>
        <v/>
      </c>
      <c r="C300" s="20"/>
      <c r="D300" s="20"/>
      <c r="E300" s="20"/>
      <c r="F300" s="20"/>
      <c r="G300" s="11" t="str">
        <f aca="false">IF(OR(D300="",E300=""),"",IF(E300+10-IF(F300="",10,F300)&lt;=1,D300,ROUND(D300*(1+(E300+10-IF(F300="",10,F300))/30),1)))</f>
        <v/>
      </c>
      <c r="H300" s="20"/>
      <c r="I300" s="20"/>
      <c r="J300" s="11" t="str">
        <f aca="false">IF(OR(C300="",G300=""),"",IF(_xlfn.MAXIFS($G$13:G299,$C$13:C299,C300)=0,"",_xlfn.MAXIFS($G$13:G299,$C$13:C299,C300)))</f>
        <v/>
      </c>
      <c r="K300" s="11" t="str">
        <f aca="false">IF(OR(G300="",J300=""),"",IF(G300&lt;0.95*J300,"Below trend","OK"))</f>
        <v/>
      </c>
    </row>
    <row r="301" customFormat="false" ht="15" hidden="false" customHeight="false" outlineLevel="0" collapsed="false">
      <c r="A301" s="51"/>
      <c r="B301" s="11" t="str">
        <f aca="false">IF(A301="","",INT((A301-'Start here'!$C$5)/7)+1)</f>
        <v/>
      </c>
      <c r="C301" s="20"/>
      <c r="D301" s="20"/>
      <c r="E301" s="20"/>
      <c r="F301" s="20"/>
      <c r="G301" s="11" t="str">
        <f aca="false">IF(OR(D301="",E301=""),"",IF(E301+10-IF(F301="",10,F301)&lt;=1,D301,ROUND(D301*(1+(E301+10-IF(F301="",10,F301))/30),1)))</f>
        <v/>
      </c>
      <c r="H301" s="20"/>
      <c r="I301" s="20"/>
      <c r="J301" s="11" t="str">
        <f aca="false">IF(OR(C301="",G301=""),"",IF(_xlfn.MAXIFS($G$13:G300,$C$13:C300,C301)=0,"",_xlfn.MAXIFS($G$13:G300,$C$13:C300,C301)))</f>
        <v/>
      </c>
      <c r="K301" s="11" t="str">
        <f aca="false">IF(OR(G301="",J301=""),"",IF(G301&lt;0.95*J301,"Below trend","OK"))</f>
        <v/>
      </c>
    </row>
    <row r="302" customFormat="false" ht="15" hidden="false" customHeight="false" outlineLevel="0" collapsed="false">
      <c r="A302" s="51"/>
      <c r="B302" s="11" t="str">
        <f aca="false">IF(A302="","",INT((A302-'Start here'!$C$5)/7)+1)</f>
        <v/>
      </c>
      <c r="C302" s="20"/>
      <c r="D302" s="20"/>
      <c r="E302" s="20"/>
      <c r="F302" s="20"/>
      <c r="G302" s="11" t="str">
        <f aca="false">IF(OR(D302="",E302=""),"",IF(E302+10-IF(F302="",10,F302)&lt;=1,D302,ROUND(D302*(1+(E302+10-IF(F302="",10,F302))/30),1)))</f>
        <v/>
      </c>
      <c r="H302" s="20"/>
      <c r="I302" s="20"/>
      <c r="J302" s="11" t="str">
        <f aca="false">IF(OR(C302="",G302=""),"",IF(_xlfn.MAXIFS($G$13:G301,$C$13:C301,C302)=0,"",_xlfn.MAXIFS($G$13:G301,$C$13:C301,C302)))</f>
        <v/>
      </c>
      <c r="K302" s="11" t="str">
        <f aca="false">IF(OR(G302="",J302=""),"",IF(G302&lt;0.95*J302,"Below trend","OK"))</f>
        <v/>
      </c>
    </row>
    <row r="303" customFormat="false" ht="15" hidden="false" customHeight="false" outlineLevel="0" collapsed="false">
      <c r="A303" s="51"/>
      <c r="B303" s="11" t="str">
        <f aca="false">IF(A303="","",INT((A303-'Start here'!$C$5)/7)+1)</f>
        <v/>
      </c>
      <c r="C303" s="20"/>
      <c r="D303" s="20"/>
      <c r="E303" s="20"/>
      <c r="F303" s="20"/>
      <c r="G303" s="11" t="str">
        <f aca="false">IF(OR(D303="",E303=""),"",IF(E303+10-IF(F303="",10,F303)&lt;=1,D303,ROUND(D303*(1+(E303+10-IF(F303="",10,F303))/30),1)))</f>
        <v/>
      </c>
      <c r="H303" s="20"/>
      <c r="I303" s="20"/>
      <c r="J303" s="11" t="str">
        <f aca="false">IF(OR(C303="",G303=""),"",IF(_xlfn.MAXIFS($G$13:G302,$C$13:C302,C303)=0,"",_xlfn.MAXIFS($G$13:G302,$C$13:C302,C303)))</f>
        <v/>
      </c>
      <c r="K303" s="11" t="str">
        <f aca="false">IF(OR(G303="",J303=""),"",IF(G303&lt;0.95*J303,"Below trend","OK"))</f>
        <v/>
      </c>
    </row>
    <row r="304" customFormat="false" ht="15" hidden="false" customHeight="false" outlineLevel="0" collapsed="false">
      <c r="A304" s="51"/>
      <c r="B304" s="11" t="str">
        <f aca="false">IF(A304="","",INT((A304-'Start here'!$C$5)/7)+1)</f>
        <v/>
      </c>
      <c r="C304" s="20"/>
      <c r="D304" s="20"/>
      <c r="E304" s="20"/>
      <c r="F304" s="20"/>
      <c r="G304" s="11" t="str">
        <f aca="false">IF(OR(D304="",E304=""),"",IF(E304+10-IF(F304="",10,F304)&lt;=1,D304,ROUND(D304*(1+(E304+10-IF(F304="",10,F304))/30),1)))</f>
        <v/>
      </c>
      <c r="H304" s="20"/>
      <c r="I304" s="20"/>
      <c r="J304" s="11" t="str">
        <f aca="false">IF(OR(C304="",G304=""),"",IF(_xlfn.MAXIFS($G$13:G303,$C$13:C303,C304)=0,"",_xlfn.MAXIFS($G$13:G303,$C$13:C303,C304)))</f>
        <v/>
      </c>
      <c r="K304" s="11" t="str">
        <f aca="false">IF(OR(G304="",J304=""),"",IF(G304&lt;0.95*J304,"Below trend","OK"))</f>
        <v/>
      </c>
    </row>
    <row r="305" customFormat="false" ht="15" hidden="false" customHeight="false" outlineLevel="0" collapsed="false">
      <c r="A305" s="51"/>
      <c r="B305" s="11" t="str">
        <f aca="false">IF(A305="","",INT((A305-'Start here'!$C$5)/7)+1)</f>
        <v/>
      </c>
      <c r="C305" s="20"/>
      <c r="D305" s="20"/>
      <c r="E305" s="20"/>
      <c r="F305" s="20"/>
      <c r="G305" s="11" t="str">
        <f aca="false">IF(OR(D305="",E305=""),"",IF(E305+10-IF(F305="",10,F305)&lt;=1,D305,ROUND(D305*(1+(E305+10-IF(F305="",10,F305))/30),1)))</f>
        <v/>
      </c>
      <c r="H305" s="20"/>
      <c r="I305" s="20"/>
      <c r="J305" s="11" t="str">
        <f aca="false">IF(OR(C305="",G305=""),"",IF(_xlfn.MAXIFS($G$13:G304,$C$13:C304,C305)=0,"",_xlfn.MAXIFS($G$13:G304,$C$13:C304,C305)))</f>
        <v/>
      </c>
      <c r="K305" s="11" t="str">
        <f aca="false">IF(OR(G305="",J305=""),"",IF(G305&lt;0.95*J305,"Below trend","OK"))</f>
        <v/>
      </c>
    </row>
    <row r="306" customFormat="false" ht="15" hidden="false" customHeight="false" outlineLevel="0" collapsed="false">
      <c r="A306" s="51"/>
      <c r="B306" s="11" t="str">
        <f aca="false">IF(A306="","",INT((A306-'Start here'!$C$5)/7)+1)</f>
        <v/>
      </c>
      <c r="C306" s="20"/>
      <c r="D306" s="20"/>
      <c r="E306" s="20"/>
      <c r="F306" s="20"/>
      <c r="G306" s="11" t="str">
        <f aca="false">IF(OR(D306="",E306=""),"",IF(E306+10-IF(F306="",10,F306)&lt;=1,D306,ROUND(D306*(1+(E306+10-IF(F306="",10,F306))/30),1)))</f>
        <v/>
      </c>
      <c r="H306" s="20"/>
      <c r="I306" s="20"/>
      <c r="J306" s="11" t="str">
        <f aca="false">IF(OR(C306="",G306=""),"",IF(_xlfn.MAXIFS($G$13:G305,$C$13:C305,C306)=0,"",_xlfn.MAXIFS($G$13:G305,$C$13:C305,C306)))</f>
        <v/>
      </c>
      <c r="K306" s="11" t="str">
        <f aca="false">IF(OR(G306="",J306=""),"",IF(G306&lt;0.95*J306,"Below trend","OK"))</f>
        <v/>
      </c>
    </row>
    <row r="307" customFormat="false" ht="15" hidden="false" customHeight="false" outlineLevel="0" collapsed="false">
      <c r="A307" s="51"/>
      <c r="B307" s="11" t="str">
        <f aca="false">IF(A307="","",INT((A307-'Start here'!$C$5)/7)+1)</f>
        <v/>
      </c>
      <c r="C307" s="20"/>
      <c r="D307" s="20"/>
      <c r="E307" s="20"/>
      <c r="F307" s="20"/>
      <c r="G307" s="11" t="str">
        <f aca="false">IF(OR(D307="",E307=""),"",IF(E307+10-IF(F307="",10,F307)&lt;=1,D307,ROUND(D307*(1+(E307+10-IF(F307="",10,F307))/30),1)))</f>
        <v/>
      </c>
      <c r="H307" s="20"/>
      <c r="I307" s="20"/>
      <c r="J307" s="11" t="str">
        <f aca="false">IF(OR(C307="",G307=""),"",IF(_xlfn.MAXIFS($G$13:G306,$C$13:C306,C307)=0,"",_xlfn.MAXIFS($G$13:G306,$C$13:C306,C307)))</f>
        <v/>
      </c>
      <c r="K307" s="11" t="str">
        <f aca="false">IF(OR(G307="",J307=""),"",IF(G307&lt;0.95*J307,"Below trend","OK"))</f>
        <v/>
      </c>
    </row>
    <row r="308" customFormat="false" ht="15" hidden="false" customHeight="false" outlineLevel="0" collapsed="false">
      <c r="A308" s="51"/>
      <c r="B308" s="11" t="str">
        <f aca="false">IF(A308="","",INT((A308-'Start here'!$C$5)/7)+1)</f>
        <v/>
      </c>
      <c r="C308" s="20"/>
      <c r="D308" s="20"/>
      <c r="E308" s="20"/>
      <c r="F308" s="20"/>
      <c r="G308" s="11" t="str">
        <f aca="false">IF(OR(D308="",E308=""),"",IF(E308+10-IF(F308="",10,F308)&lt;=1,D308,ROUND(D308*(1+(E308+10-IF(F308="",10,F308))/30),1)))</f>
        <v/>
      </c>
      <c r="H308" s="20"/>
      <c r="I308" s="20"/>
      <c r="J308" s="11" t="str">
        <f aca="false">IF(OR(C308="",G308=""),"",IF(_xlfn.MAXIFS($G$13:G307,$C$13:C307,C308)=0,"",_xlfn.MAXIFS($G$13:G307,$C$13:C307,C308)))</f>
        <v/>
      </c>
      <c r="K308" s="11" t="str">
        <f aca="false">IF(OR(G308="",J308=""),"",IF(G308&lt;0.95*J308,"Below trend","OK"))</f>
        <v/>
      </c>
    </row>
    <row r="309" customFormat="false" ht="15" hidden="false" customHeight="false" outlineLevel="0" collapsed="false">
      <c r="A309" s="51"/>
      <c r="B309" s="11" t="str">
        <f aca="false">IF(A309="","",INT((A309-'Start here'!$C$5)/7)+1)</f>
        <v/>
      </c>
      <c r="C309" s="20"/>
      <c r="D309" s="20"/>
      <c r="E309" s="20"/>
      <c r="F309" s="20"/>
      <c r="G309" s="11" t="str">
        <f aca="false">IF(OR(D309="",E309=""),"",IF(E309+10-IF(F309="",10,F309)&lt;=1,D309,ROUND(D309*(1+(E309+10-IF(F309="",10,F309))/30),1)))</f>
        <v/>
      </c>
      <c r="H309" s="20"/>
      <c r="I309" s="20"/>
      <c r="J309" s="11" t="str">
        <f aca="false">IF(OR(C309="",G309=""),"",IF(_xlfn.MAXIFS($G$13:G308,$C$13:C308,C309)=0,"",_xlfn.MAXIFS($G$13:G308,$C$13:C308,C309)))</f>
        <v/>
      </c>
      <c r="K309" s="11" t="str">
        <f aca="false">IF(OR(G309="",J309=""),"",IF(G309&lt;0.95*J309,"Below trend","OK"))</f>
        <v/>
      </c>
    </row>
    <row r="310" customFormat="false" ht="15" hidden="false" customHeight="false" outlineLevel="0" collapsed="false">
      <c r="A310" s="51"/>
      <c r="B310" s="11" t="str">
        <f aca="false">IF(A310="","",INT((A310-'Start here'!$C$5)/7)+1)</f>
        <v/>
      </c>
      <c r="C310" s="20"/>
      <c r="D310" s="20"/>
      <c r="E310" s="20"/>
      <c r="F310" s="20"/>
      <c r="G310" s="11" t="str">
        <f aca="false">IF(OR(D310="",E310=""),"",IF(E310+10-IF(F310="",10,F310)&lt;=1,D310,ROUND(D310*(1+(E310+10-IF(F310="",10,F310))/30),1)))</f>
        <v/>
      </c>
      <c r="H310" s="20"/>
      <c r="I310" s="20"/>
      <c r="J310" s="11" t="str">
        <f aca="false">IF(OR(C310="",G310=""),"",IF(_xlfn.MAXIFS($G$13:G309,$C$13:C309,C310)=0,"",_xlfn.MAXIFS($G$13:G309,$C$13:C309,C310)))</f>
        <v/>
      </c>
      <c r="K310" s="11" t="str">
        <f aca="false">IF(OR(G310="",J310=""),"",IF(G310&lt;0.95*J310,"Below trend","OK"))</f>
        <v/>
      </c>
    </row>
    <row r="311" customFormat="false" ht="15" hidden="false" customHeight="false" outlineLevel="0" collapsed="false">
      <c r="A311" s="51"/>
      <c r="B311" s="11" t="str">
        <f aca="false">IF(A311="","",INT((A311-'Start here'!$C$5)/7)+1)</f>
        <v/>
      </c>
      <c r="C311" s="20"/>
      <c r="D311" s="20"/>
      <c r="E311" s="20"/>
      <c r="F311" s="20"/>
      <c r="G311" s="11" t="str">
        <f aca="false">IF(OR(D311="",E311=""),"",IF(E311+10-IF(F311="",10,F311)&lt;=1,D311,ROUND(D311*(1+(E311+10-IF(F311="",10,F311))/30),1)))</f>
        <v/>
      </c>
      <c r="H311" s="20"/>
      <c r="I311" s="20"/>
      <c r="J311" s="11" t="str">
        <f aca="false">IF(OR(C311="",G311=""),"",IF(_xlfn.MAXIFS($G$13:G310,$C$13:C310,C311)=0,"",_xlfn.MAXIFS($G$13:G310,$C$13:C310,C311)))</f>
        <v/>
      </c>
      <c r="K311" s="11" t="str">
        <f aca="false">IF(OR(G311="",J311=""),"",IF(G311&lt;0.95*J311,"Below trend","OK"))</f>
        <v/>
      </c>
    </row>
    <row r="312" customFormat="false" ht="15" hidden="false" customHeight="false" outlineLevel="0" collapsed="false">
      <c r="A312" s="51"/>
      <c r="B312" s="11" t="str">
        <f aca="false">IF(A312="","",INT((A312-'Start here'!$C$5)/7)+1)</f>
        <v/>
      </c>
      <c r="C312" s="20"/>
      <c r="D312" s="20"/>
      <c r="E312" s="20"/>
      <c r="F312" s="20"/>
      <c r="G312" s="11" t="str">
        <f aca="false">IF(OR(D312="",E312=""),"",IF(E312+10-IF(F312="",10,F312)&lt;=1,D312,ROUND(D312*(1+(E312+10-IF(F312="",10,F312))/30),1)))</f>
        <v/>
      </c>
      <c r="H312" s="20"/>
      <c r="I312" s="20"/>
      <c r="J312" s="11" t="str">
        <f aca="false">IF(OR(C312="",G312=""),"",IF(_xlfn.MAXIFS($G$13:G311,$C$13:C311,C312)=0,"",_xlfn.MAXIFS($G$13:G311,$C$13:C311,C312)))</f>
        <v/>
      </c>
      <c r="K312" s="11" t="str">
        <f aca="false">IF(OR(G312="",J312=""),"",IF(G312&lt;0.95*J312,"Below trend","OK"))</f>
        <v/>
      </c>
    </row>
    <row r="313" customFormat="false" ht="15" hidden="false" customHeight="false" outlineLevel="0" collapsed="false">
      <c r="A313" s="51"/>
      <c r="B313" s="11" t="str">
        <f aca="false">IF(A313="","",INT((A313-'Start here'!$C$5)/7)+1)</f>
        <v/>
      </c>
      <c r="C313" s="20"/>
      <c r="D313" s="20"/>
      <c r="E313" s="20"/>
      <c r="F313" s="20"/>
      <c r="G313" s="11" t="str">
        <f aca="false">IF(OR(D313="",E313=""),"",IF(E313+10-IF(F313="",10,F313)&lt;=1,D313,ROUND(D313*(1+(E313+10-IF(F313="",10,F313))/30),1)))</f>
        <v/>
      </c>
      <c r="H313" s="20"/>
      <c r="I313" s="20"/>
      <c r="J313" s="11" t="str">
        <f aca="false">IF(OR(C313="",G313=""),"",IF(_xlfn.MAXIFS($G$13:G312,$C$13:C312,C313)=0,"",_xlfn.MAXIFS($G$13:G312,$C$13:C312,C313)))</f>
        <v/>
      </c>
      <c r="K313" s="11" t="str">
        <f aca="false">IF(OR(G313="",J313=""),"",IF(G313&lt;0.95*J313,"Below trend","OK"))</f>
        <v/>
      </c>
    </row>
    <row r="315" customFormat="false" ht="15" hidden="false" customHeight="false" outlineLevel="0" collapsed="false">
      <c r="A315" s="2" t="s">
        <v>408</v>
      </c>
    </row>
  </sheetData>
  <mergeCells count="1">
    <mergeCell ref="A10:K10"/>
  </mergeCells>
  <conditionalFormatting sqref="K14:K313">
    <cfRule type="expression" priority="2" aboveAverage="0" equalAverage="0" bottom="0" percent="0" rank="0" text="" dxfId="1">
      <formula>$K14="Below trend"</formula>
    </cfRule>
  </conditionalFormatting>
  <dataValidations count="2">
    <dataValidation allowBlank="true" errorStyle="stop" operator="between" showDropDown="false" showErrorMessage="false" showInputMessage="false" sqref="C14:C313" type="list">
      <formula1>$A$4:$A$9</formula1>
      <formula2>0</formula2>
    </dataValidation>
    <dataValidation allowBlank="true" errorStyle="stop" operator="between" showDropDown="false" showErrorMessage="false" showInputMessage="false" sqref="F14:F313" type="decimal">
      <formula1>5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7" min="4" style="0" width="7"/>
    <col collapsed="false" customWidth="true" hidden="false" outlineLevel="0" max="10" min="8" style="0" width="8"/>
    <col collapsed="false" customWidth="true" hidden="false" outlineLevel="0" max="11" min="11" style="0" width="30"/>
    <col collapsed="false" customWidth="true" hidden="false" outlineLevel="0" max="12" min="12" style="0" width="11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7" t="s">
        <v>401</v>
      </c>
      <c r="B1" s="17" t="s">
        <v>82</v>
      </c>
      <c r="C1" s="17" t="s">
        <v>409</v>
      </c>
      <c r="D1" s="17" t="s">
        <v>410</v>
      </c>
      <c r="E1" s="17" t="s">
        <v>411</v>
      </c>
      <c r="F1" s="17" t="s">
        <v>412</v>
      </c>
      <c r="G1" s="17" t="s">
        <v>413</v>
      </c>
      <c r="H1" s="17" t="s">
        <v>85</v>
      </c>
      <c r="I1" s="17" t="s">
        <v>86</v>
      </c>
      <c r="J1" s="17" t="s">
        <v>414</v>
      </c>
      <c r="K1" s="17" t="s">
        <v>415</v>
      </c>
      <c r="L1" s="17" t="s">
        <v>416</v>
      </c>
      <c r="M1" s="17" t="s">
        <v>417</v>
      </c>
    </row>
    <row r="2" customFormat="false" ht="15" hidden="false" customHeight="false" outlineLevel="0" collapsed="false">
      <c r="A2" s="47" t="n">
        <v>46310</v>
      </c>
      <c r="B2" s="52" t="s">
        <v>211</v>
      </c>
      <c r="C2" s="49" t="n">
        <v>7.5</v>
      </c>
      <c r="D2" s="49" t="n">
        <v>20</v>
      </c>
      <c r="E2" s="49" t="n">
        <v>19</v>
      </c>
      <c r="F2" s="49" t="n">
        <v>18</v>
      </c>
      <c r="G2" s="49"/>
      <c r="H2" s="48" t="n">
        <f aca="false">IF(B2="","",IFERROR(INDEX(Program!$H$2:$H$75,MATCH(B2,Program!$D$2:$D$75,0)),""))</f>
        <v>12</v>
      </c>
      <c r="I2" s="48" t="n">
        <f aca="false">IF(B2="","",IFERROR(INDEX(Program!$I$2:$I$75,MATCH(B2,Program!$D$2:$D$75,0)),""))</f>
        <v>20</v>
      </c>
      <c r="J2" s="48" t="n">
        <f aca="false">IF(COUNT(D2:G2)=0,"",COUNT(D2:G2))</f>
        <v>3</v>
      </c>
      <c r="K2" s="53" t="str">
        <f aca="false">IF(OR(J2="",I2=""),"",IF(MIN(D2:G2)&gt;=I2,"Add load (smallest step)",IF(MAX(D2:G2)&lt;H2,"Below range: if again, drop 5–10%","Same load, add reps")))</f>
        <v>Same load, add reps</v>
      </c>
      <c r="L2" s="49" t="n">
        <v>10</v>
      </c>
      <c r="M2" s="48" t="n">
        <f aca="false">IF(OR(L2="",C2="",H2="",C2=0),"",MAX(H2,ROUNDUP(30*((L2/C2)*(1+H2/30)-1),0)))</f>
        <v>26</v>
      </c>
    </row>
    <row r="3" customFormat="false" ht="15" hidden="false" customHeight="false" outlineLevel="0" collapsed="false">
      <c r="A3" s="51"/>
      <c r="B3" s="54"/>
      <c r="C3" s="20"/>
      <c r="D3" s="20"/>
      <c r="E3" s="20"/>
      <c r="F3" s="20"/>
      <c r="G3" s="20"/>
      <c r="H3" s="11" t="str">
        <f aca="false">IF(B3="","",IFERROR(INDEX(Program!$H$2:$H$75,MATCH(B3,Program!$D$2:$D$75,0)),""))</f>
        <v/>
      </c>
      <c r="I3" s="11" t="str">
        <f aca="false">IF(B3="","",IFERROR(INDEX(Program!$I$2:$I$75,MATCH(B3,Program!$D$2:$D$75,0)),""))</f>
        <v/>
      </c>
      <c r="J3" s="11" t="str">
        <f aca="false">IF(COUNT(D3:G3)=0,"",COUNT(D3:G3))</f>
        <v/>
      </c>
      <c r="K3" s="12" t="str">
        <f aca="false">IF(OR(J3="",I3=""),"",IF(MIN(D3:G3)&gt;=I3,"Add load (smallest step)",IF(MAX(D3:G3)&lt;H3,"Below range: if again, drop 5–10%","Same load, add reps")))</f>
        <v/>
      </c>
      <c r="L3" s="20"/>
      <c r="M3" s="11" t="str">
        <f aca="false">IF(OR(L3="",C3="",H3="",C3=0),"",MAX(H3,ROUNDUP(30*((L3/C3)*(1+H3/30)-1),0)))</f>
        <v/>
      </c>
    </row>
    <row r="4" customFormat="false" ht="15" hidden="false" customHeight="false" outlineLevel="0" collapsed="false">
      <c r="A4" s="51"/>
      <c r="B4" s="54"/>
      <c r="C4" s="20"/>
      <c r="D4" s="20"/>
      <c r="E4" s="20"/>
      <c r="F4" s="20"/>
      <c r="G4" s="20"/>
      <c r="H4" s="11" t="str">
        <f aca="false">IF(B4="","",IFERROR(INDEX(Program!$H$2:$H$75,MATCH(B4,Program!$D$2:$D$75,0)),""))</f>
        <v/>
      </c>
      <c r="I4" s="11" t="str">
        <f aca="false">IF(B4="","",IFERROR(INDEX(Program!$I$2:$I$75,MATCH(B4,Program!$D$2:$D$75,0)),""))</f>
        <v/>
      </c>
      <c r="J4" s="11" t="str">
        <f aca="false">IF(COUNT(D4:G4)=0,"",COUNT(D4:G4))</f>
        <v/>
      </c>
      <c r="K4" s="12" t="str">
        <f aca="false">IF(OR(J4="",I4=""),"",IF(MIN(D4:G4)&gt;=I4,"Add load (smallest step)",IF(MAX(D4:G4)&lt;H4,"Below range: if again, drop 5–10%","Same load, add reps")))</f>
        <v/>
      </c>
      <c r="L4" s="20"/>
      <c r="M4" s="11" t="str">
        <f aca="false">IF(OR(L4="",C4="",H4="",C4=0),"",MAX(H4,ROUNDUP(30*((L4/C4)*(1+H4/30)-1),0)))</f>
        <v/>
      </c>
    </row>
    <row r="5" customFormat="false" ht="15" hidden="false" customHeight="false" outlineLevel="0" collapsed="false">
      <c r="A5" s="51"/>
      <c r="B5" s="54"/>
      <c r="C5" s="20"/>
      <c r="D5" s="20"/>
      <c r="E5" s="20"/>
      <c r="F5" s="20"/>
      <c r="G5" s="20"/>
      <c r="H5" s="11" t="str">
        <f aca="false">IF(B5="","",IFERROR(INDEX(Program!$H$2:$H$75,MATCH(B5,Program!$D$2:$D$75,0)),""))</f>
        <v/>
      </c>
      <c r="I5" s="11" t="str">
        <f aca="false">IF(B5="","",IFERROR(INDEX(Program!$I$2:$I$75,MATCH(B5,Program!$D$2:$D$75,0)),""))</f>
        <v/>
      </c>
      <c r="J5" s="11" t="str">
        <f aca="false">IF(COUNT(D5:G5)=0,"",COUNT(D5:G5))</f>
        <v/>
      </c>
      <c r="K5" s="12" t="str">
        <f aca="false">IF(OR(J5="",I5=""),"",IF(MIN(D5:G5)&gt;=I5,"Add load (smallest step)",IF(MAX(D5:G5)&lt;H5,"Below range: if again, drop 5–10%","Same load, add reps")))</f>
        <v/>
      </c>
      <c r="L5" s="20"/>
      <c r="M5" s="11" t="str">
        <f aca="false">IF(OR(L5="",C5="",H5="",C5=0),"",MAX(H5,ROUNDUP(30*((L5/C5)*(1+H5/30)-1),0)))</f>
        <v/>
      </c>
    </row>
    <row r="6" customFormat="false" ht="15" hidden="false" customHeight="false" outlineLevel="0" collapsed="false">
      <c r="A6" s="51"/>
      <c r="B6" s="54"/>
      <c r="C6" s="20"/>
      <c r="D6" s="20"/>
      <c r="E6" s="20"/>
      <c r="F6" s="20"/>
      <c r="G6" s="20"/>
      <c r="H6" s="11" t="str">
        <f aca="false">IF(B6="","",IFERROR(INDEX(Program!$H$2:$H$75,MATCH(B6,Program!$D$2:$D$75,0)),""))</f>
        <v/>
      </c>
      <c r="I6" s="11" t="str">
        <f aca="false">IF(B6="","",IFERROR(INDEX(Program!$I$2:$I$75,MATCH(B6,Program!$D$2:$D$75,0)),""))</f>
        <v/>
      </c>
      <c r="J6" s="11" t="str">
        <f aca="false">IF(COUNT(D6:G6)=0,"",COUNT(D6:G6))</f>
        <v/>
      </c>
      <c r="K6" s="12" t="str">
        <f aca="false">IF(OR(J6="",I6=""),"",IF(MIN(D6:G6)&gt;=I6,"Add load (smallest step)",IF(MAX(D6:G6)&lt;H6,"Below range: if again, drop 5–10%","Same load, add reps")))</f>
        <v/>
      </c>
      <c r="L6" s="20"/>
      <c r="M6" s="11" t="str">
        <f aca="false">IF(OR(L6="",C6="",H6="",C6=0),"",MAX(H6,ROUNDUP(30*((L6/C6)*(1+H6/30)-1),0)))</f>
        <v/>
      </c>
    </row>
    <row r="7" customFormat="false" ht="15" hidden="false" customHeight="false" outlineLevel="0" collapsed="false">
      <c r="A7" s="51"/>
      <c r="B7" s="54"/>
      <c r="C7" s="20"/>
      <c r="D7" s="20"/>
      <c r="E7" s="20"/>
      <c r="F7" s="20"/>
      <c r="G7" s="20"/>
      <c r="H7" s="11" t="str">
        <f aca="false">IF(B7="","",IFERROR(INDEX(Program!$H$2:$H$75,MATCH(B7,Program!$D$2:$D$75,0)),""))</f>
        <v/>
      </c>
      <c r="I7" s="11" t="str">
        <f aca="false">IF(B7="","",IFERROR(INDEX(Program!$I$2:$I$75,MATCH(B7,Program!$D$2:$D$75,0)),""))</f>
        <v/>
      </c>
      <c r="J7" s="11" t="str">
        <f aca="false">IF(COUNT(D7:G7)=0,"",COUNT(D7:G7))</f>
        <v/>
      </c>
      <c r="K7" s="12" t="str">
        <f aca="false">IF(OR(J7="",I7=""),"",IF(MIN(D7:G7)&gt;=I7,"Add load (smallest step)",IF(MAX(D7:G7)&lt;H7,"Below range: if again, drop 5–10%","Same load, add reps")))</f>
        <v/>
      </c>
      <c r="L7" s="20"/>
      <c r="M7" s="11" t="str">
        <f aca="false">IF(OR(L7="",C7="",H7="",C7=0),"",MAX(H7,ROUNDUP(30*((L7/C7)*(1+H7/30)-1),0)))</f>
        <v/>
      </c>
    </row>
    <row r="8" customFormat="false" ht="15" hidden="false" customHeight="false" outlineLevel="0" collapsed="false">
      <c r="A8" s="51"/>
      <c r="B8" s="54"/>
      <c r="C8" s="20"/>
      <c r="D8" s="20"/>
      <c r="E8" s="20"/>
      <c r="F8" s="20"/>
      <c r="G8" s="20"/>
      <c r="H8" s="11" t="str">
        <f aca="false">IF(B8="","",IFERROR(INDEX(Program!$H$2:$H$75,MATCH(B8,Program!$D$2:$D$75,0)),""))</f>
        <v/>
      </c>
      <c r="I8" s="11" t="str">
        <f aca="false">IF(B8="","",IFERROR(INDEX(Program!$I$2:$I$75,MATCH(B8,Program!$D$2:$D$75,0)),""))</f>
        <v/>
      </c>
      <c r="J8" s="11" t="str">
        <f aca="false">IF(COUNT(D8:G8)=0,"",COUNT(D8:G8))</f>
        <v/>
      </c>
      <c r="K8" s="12" t="str">
        <f aca="false">IF(OR(J8="",I8=""),"",IF(MIN(D8:G8)&gt;=I8,"Add load (smallest step)",IF(MAX(D8:G8)&lt;H8,"Below range: if again, drop 5–10%","Same load, add reps")))</f>
        <v/>
      </c>
      <c r="L8" s="20"/>
      <c r="M8" s="11" t="str">
        <f aca="false">IF(OR(L8="",C8="",H8="",C8=0),"",MAX(H8,ROUNDUP(30*((L8/C8)*(1+H8/30)-1),0)))</f>
        <v/>
      </c>
    </row>
    <row r="9" customFormat="false" ht="15" hidden="false" customHeight="false" outlineLevel="0" collapsed="false">
      <c r="A9" s="51"/>
      <c r="B9" s="54"/>
      <c r="C9" s="20"/>
      <c r="D9" s="20"/>
      <c r="E9" s="20"/>
      <c r="F9" s="20"/>
      <c r="G9" s="20"/>
      <c r="H9" s="11" t="str">
        <f aca="false">IF(B9="","",IFERROR(INDEX(Program!$H$2:$H$75,MATCH(B9,Program!$D$2:$D$75,0)),""))</f>
        <v/>
      </c>
      <c r="I9" s="11" t="str">
        <f aca="false">IF(B9="","",IFERROR(INDEX(Program!$I$2:$I$75,MATCH(B9,Program!$D$2:$D$75,0)),""))</f>
        <v/>
      </c>
      <c r="J9" s="11" t="str">
        <f aca="false">IF(COUNT(D9:G9)=0,"",COUNT(D9:G9))</f>
        <v/>
      </c>
      <c r="K9" s="12" t="str">
        <f aca="false">IF(OR(J9="",I9=""),"",IF(MIN(D9:G9)&gt;=I9,"Add load (smallest step)",IF(MAX(D9:G9)&lt;H9,"Below range: if again, drop 5–10%","Same load, add reps")))</f>
        <v/>
      </c>
      <c r="L9" s="20"/>
      <c r="M9" s="11" t="str">
        <f aca="false">IF(OR(L9="",C9="",H9="",C9=0),"",MAX(H9,ROUNDUP(30*((L9/C9)*(1+H9/30)-1),0)))</f>
        <v/>
      </c>
    </row>
    <row r="10" customFormat="false" ht="15" hidden="false" customHeight="false" outlineLevel="0" collapsed="false">
      <c r="A10" s="51"/>
      <c r="B10" s="54"/>
      <c r="C10" s="20"/>
      <c r="D10" s="20"/>
      <c r="E10" s="20"/>
      <c r="F10" s="20"/>
      <c r="G10" s="20"/>
      <c r="H10" s="11" t="str">
        <f aca="false">IF(B10="","",IFERROR(INDEX(Program!$H$2:$H$75,MATCH(B10,Program!$D$2:$D$75,0)),""))</f>
        <v/>
      </c>
      <c r="I10" s="11" t="str">
        <f aca="false">IF(B10="","",IFERROR(INDEX(Program!$I$2:$I$75,MATCH(B10,Program!$D$2:$D$75,0)),""))</f>
        <v/>
      </c>
      <c r="J10" s="11" t="str">
        <f aca="false">IF(COUNT(D10:G10)=0,"",COUNT(D10:G10))</f>
        <v/>
      </c>
      <c r="K10" s="12" t="str">
        <f aca="false">IF(OR(J10="",I10=""),"",IF(MIN(D10:G10)&gt;=I10,"Add load (smallest step)",IF(MAX(D10:G10)&lt;H10,"Below range: if again, drop 5–10%","Same load, add reps")))</f>
        <v/>
      </c>
      <c r="L10" s="20"/>
      <c r="M10" s="11" t="str">
        <f aca="false">IF(OR(L10="",C10="",H10="",C10=0),"",MAX(H10,ROUNDUP(30*((L10/C10)*(1+H10/30)-1),0)))</f>
        <v/>
      </c>
    </row>
    <row r="11" customFormat="false" ht="15" hidden="false" customHeight="false" outlineLevel="0" collapsed="false">
      <c r="A11" s="51"/>
      <c r="B11" s="54"/>
      <c r="C11" s="20"/>
      <c r="D11" s="20"/>
      <c r="E11" s="20"/>
      <c r="F11" s="20"/>
      <c r="G11" s="20"/>
      <c r="H11" s="11" t="str">
        <f aca="false">IF(B11="","",IFERROR(INDEX(Program!$H$2:$H$75,MATCH(B11,Program!$D$2:$D$75,0)),""))</f>
        <v/>
      </c>
      <c r="I11" s="11" t="str">
        <f aca="false">IF(B11="","",IFERROR(INDEX(Program!$I$2:$I$75,MATCH(B11,Program!$D$2:$D$75,0)),""))</f>
        <v/>
      </c>
      <c r="J11" s="11" t="str">
        <f aca="false">IF(COUNT(D11:G11)=0,"",COUNT(D11:G11))</f>
        <v/>
      </c>
      <c r="K11" s="12" t="str">
        <f aca="false">IF(OR(J11="",I11=""),"",IF(MIN(D11:G11)&gt;=I11,"Add load (smallest step)",IF(MAX(D11:G11)&lt;H11,"Below range: if again, drop 5–10%","Same load, add reps")))</f>
        <v/>
      </c>
      <c r="L11" s="20"/>
      <c r="M11" s="11" t="str">
        <f aca="false">IF(OR(L11="",C11="",H11="",C11=0),"",MAX(H11,ROUNDUP(30*((L11/C11)*(1+H11/30)-1),0)))</f>
        <v/>
      </c>
    </row>
    <row r="12" customFormat="false" ht="15" hidden="false" customHeight="false" outlineLevel="0" collapsed="false">
      <c r="A12" s="51"/>
      <c r="B12" s="54"/>
      <c r="C12" s="20"/>
      <c r="D12" s="20"/>
      <c r="E12" s="20"/>
      <c r="F12" s="20"/>
      <c r="G12" s="20"/>
      <c r="H12" s="11" t="str">
        <f aca="false">IF(B12="","",IFERROR(INDEX(Program!$H$2:$H$75,MATCH(B12,Program!$D$2:$D$75,0)),""))</f>
        <v/>
      </c>
      <c r="I12" s="11" t="str">
        <f aca="false">IF(B12="","",IFERROR(INDEX(Program!$I$2:$I$75,MATCH(B12,Program!$D$2:$D$75,0)),""))</f>
        <v/>
      </c>
      <c r="J12" s="11" t="str">
        <f aca="false">IF(COUNT(D12:G12)=0,"",COUNT(D12:G12))</f>
        <v/>
      </c>
      <c r="K12" s="12" t="str">
        <f aca="false">IF(OR(J12="",I12=""),"",IF(MIN(D12:G12)&gt;=I12,"Add load (smallest step)",IF(MAX(D12:G12)&lt;H12,"Below range: if again, drop 5–10%","Same load, add reps")))</f>
        <v/>
      </c>
      <c r="L12" s="20"/>
      <c r="M12" s="11" t="str">
        <f aca="false">IF(OR(L12="",C12="",H12="",C12=0),"",MAX(H12,ROUNDUP(30*((L12/C12)*(1+H12/30)-1),0)))</f>
        <v/>
      </c>
    </row>
    <row r="13" customFormat="false" ht="15" hidden="false" customHeight="false" outlineLevel="0" collapsed="false">
      <c r="A13" s="51"/>
      <c r="B13" s="54"/>
      <c r="C13" s="20"/>
      <c r="D13" s="20"/>
      <c r="E13" s="20"/>
      <c r="F13" s="20"/>
      <c r="G13" s="20"/>
      <c r="H13" s="11" t="str">
        <f aca="false">IF(B13="","",IFERROR(INDEX(Program!$H$2:$H$75,MATCH(B13,Program!$D$2:$D$75,0)),""))</f>
        <v/>
      </c>
      <c r="I13" s="11" t="str">
        <f aca="false">IF(B13="","",IFERROR(INDEX(Program!$I$2:$I$75,MATCH(B13,Program!$D$2:$D$75,0)),""))</f>
        <v/>
      </c>
      <c r="J13" s="11" t="str">
        <f aca="false">IF(COUNT(D13:G13)=0,"",COUNT(D13:G13))</f>
        <v/>
      </c>
      <c r="K13" s="12" t="str">
        <f aca="false">IF(OR(J13="",I13=""),"",IF(MIN(D13:G13)&gt;=I13,"Add load (smallest step)",IF(MAX(D13:G13)&lt;H13,"Below range: if again, drop 5–10%","Same load, add reps")))</f>
        <v/>
      </c>
      <c r="L13" s="20"/>
      <c r="M13" s="11" t="str">
        <f aca="false">IF(OR(L13="",C13="",H13="",C13=0),"",MAX(H13,ROUNDUP(30*((L13/C13)*(1+H13/30)-1),0)))</f>
        <v/>
      </c>
    </row>
    <row r="14" customFormat="false" ht="15" hidden="false" customHeight="false" outlineLevel="0" collapsed="false">
      <c r="A14" s="51"/>
      <c r="B14" s="54"/>
      <c r="C14" s="20"/>
      <c r="D14" s="20"/>
      <c r="E14" s="20"/>
      <c r="F14" s="20"/>
      <c r="G14" s="20"/>
      <c r="H14" s="11" t="str">
        <f aca="false">IF(B14="","",IFERROR(INDEX(Program!$H$2:$H$75,MATCH(B14,Program!$D$2:$D$75,0)),""))</f>
        <v/>
      </c>
      <c r="I14" s="11" t="str">
        <f aca="false">IF(B14="","",IFERROR(INDEX(Program!$I$2:$I$75,MATCH(B14,Program!$D$2:$D$75,0)),""))</f>
        <v/>
      </c>
      <c r="J14" s="11" t="str">
        <f aca="false">IF(COUNT(D14:G14)=0,"",COUNT(D14:G14))</f>
        <v/>
      </c>
      <c r="K14" s="12" t="str">
        <f aca="false">IF(OR(J14="",I14=""),"",IF(MIN(D14:G14)&gt;=I14,"Add load (smallest step)",IF(MAX(D14:G14)&lt;H14,"Below range: if again, drop 5–10%","Same load, add reps")))</f>
        <v/>
      </c>
      <c r="L14" s="20"/>
      <c r="M14" s="11" t="str">
        <f aca="false">IF(OR(L14="",C14="",H14="",C14=0),"",MAX(H14,ROUNDUP(30*((L14/C14)*(1+H14/30)-1),0)))</f>
        <v/>
      </c>
    </row>
    <row r="15" customFormat="false" ht="15" hidden="false" customHeight="false" outlineLevel="0" collapsed="false">
      <c r="A15" s="51"/>
      <c r="B15" s="54"/>
      <c r="C15" s="20"/>
      <c r="D15" s="20"/>
      <c r="E15" s="20"/>
      <c r="F15" s="20"/>
      <c r="G15" s="20"/>
      <c r="H15" s="11" t="str">
        <f aca="false">IF(B15="","",IFERROR(INDEX(Program!$H$2:$H$75,MATCH(B15,Program!$D$2:$D$75,0)),""))</f>
        <v/>
      </c>
      <c r="I15" s="11" t="str">
        <f aca="false">IF(B15="","",IFERROR(INDEX(Program!$I$2:$I$75,MATCH(B15,Program!$D$2:$D$75,0)),""))</f>
        <v/>
      </c>
      <c r="J15" s="11" t="str">
        <f aca="false">IF(COUNT(D15:G15)=0,"",COUNT(D15:G15))</f>
        <v/>
      </c>
      <c r="K15" s="12" t="str">
        <f aca="false">IF(OR(J15="",I15=""),"",IF(MIN(D15:G15)&gt;=I15,"Add load (smallest step)",IF(MAX(D15:G15)&lt;H15,"Below range: if again, drop 5–10%","Same load, add reps")))</f>
        <v/>
      </c>
      <c r="L15" s="20"/>
      <c r="M15" s="11" t="str">
        <f aca="false">IF(OR(L15="",C15="",H15="",C15=0),"",MAX(H15,ROUNDUP(30*((L15/C15)*(1+H15/30)-1),0)))</f>
        <v/>
      </c>
    </row>
    <row r="16" customFormat="false" ht="15" hidden="false" customHeight="false" outlineLevel="0" collapsed="false">
      <c r="A16" s="51"/>
      <c r="B16" s="54"/>
      <c r="C16" s="20"/>
      <c r="D16" s="20"/>
      <c r="E16" s="20"/>
      <c r="F16" s="20"/>
      <c r="G16" s="20"/>
      <c r="H16" s="11" t="str">
        <f aca="false">IF(B16="","",IFERROR(INDEX(Program!$H$2:$H$75,MATCH(B16,Program!$D$2:$D$75,0)),""))</f>
        <v/>
      </c>
      <c r="I16" s="11" t="str">
        <f aca="false">IF(B16="","",IFERROR(INDEX(Program!$I$2:$I$75,MATCH(B16,Program!$D$2:$D$75,0)),""))</f>
        <v/>
      </c>
      <c r="J16" s="11" t="str">
        <f aca="false">IF(COUNT(D16:G16)=0,"",COUNT(D16:G16))</f>
        <v/>
      </c>
      <c r="K16" s="12" t="str">
        <f aca="false">IF(OR(J16="",I16=""),"",IF(MIN(D16:G16)&gt;=I16,"Add load (smallest step)",IF(MAX(D16:G16)&lt;H16,"Below range: if again, drop 5–10%","Same load, add reps")))</f>
        <v/>
      </c>
      <c r="L16" s="20"/>
      <c r="M16" s="11" t="str">
        <f aca="false">IF(OR(L16="",C16="",H16="",C16=0),"",MAX(H16,ROUNDUP(30*((L16/C16)*(1+H16/30)-1),0)))</f>
        <v/>
      </c>
    </row>
    <row r="17" customFormat="false" ht="15" hidden="false" customHeight="false" outlineLevel="0" collapsed="false">
      <c r="A17" s="51"/>
      <c r="B17" s="54"/>
      <c r="C17" s="20"/>
      <c r="D17" s="20"/>
      <c r="E17" s="20"/>
      <c r="F17" s="20"/>
      <c r="G17" s="20"/>
      <c r="H17" s="11" t="str">
        <f aca="false">IF(B17="","",IFERROR(INDEX(Program!$H$2:$H$75,MATCH(B17,Program!$D$2:$D$75,0)),""))</f>
        <v/>
      </c>
      <c r="I17" s="11" t="str">
        <f aca="false">IF(B17="","",IFERROR(INDEX(Program!$I$2:$I$75,MATCH(B17,Program!$D$2:$D$75,0)),""))</f>
        <v/>
      </c>
      <c r="J17" s="11" t="str">
        <f aca="false">IF(COUNT(D17:G17)=0,"",COUNT(D17:G17))</f>
        <v/>
      </c>
      <c r="K17" s="12" t="str">
        <f aca="false">IF(OR(J17="",I17=""),"",IF(MIN(D17:G17)&gt;=I17,"Add load (smallest step)",IF(MAX(D17:G17)&lt;H17,"Below range: if again, drop 5–10%","Same load, add reps")))</f>
        <v/>
      </c>
      <c r="L17" s="20"/>
      <c r="M17" s="11" t="str">
        <f aca="false">IF(OR(L17="",C17="",H17="",C17=0),"",MAX(H17,ROUNDUP(30*((L17/C17)*(1+H17/30)-1),0)))</f>
        <v/>
      </c>
    </row>
    <row r="18" customFormat="false" ht="15" hidden="false" customHeight="false" outlineLevel="0" collapsed="false">
      <c r="A18" s="51"/>
      <c r="B18" s="54"/>
      <c r="C18" s="20"/>
      <c r="D18" s="20"/>
      <c r="E18" s="20"/>
      <c r="F18" s="20"/>
      <c r="G18" s="20"/>
      <c r="H18" s="11" t="str">
        <f aca="false">IF(B18="","",IFERROR(INDEX(Program!$H$2:$H$75,MATCH(B18,Program!$D$2:$D$75,0)),""))</f>
        <v/>
      </c>
      <c r="I18" s="11" t="str">
        <f aca="false">IF(B18="","",IFERROR(INDEX(Program!$I$2:$I$75,MATCH(B18,Program!$D$2:$D$75,0)),""))</f>
        <v/>
      </c>
      <c r="J18" s="11" t="str">
        <f aca="false">IF(COUNT(D18:G18)=0,"",COUNT(D18:G18))</f>
        <v/>
      </c>
      <c r="K18" s="12" t="str">
        <f aca="false">IF(OR(J18="",I18=""),"",IF(MIN(D18:G18)&gt;=I18,"Add load (smallest step)",IF(MAX(D18:G18)&lt;H18,"Below range: if again, drop 5–10%","Same load, add reps")))</f>
        <v/>
      </c>
      <c r="L18" s="20"/>
      <c r="M18" s="11" t="str">
        <f aca="false">IF(OR(L18="",C18="",H18="",C18=0),"",MAX(H18,ROUNDUP(30*((L18/C18)*(1+H18/30)-1),0)))</f>
        <v/>
      </c>
    </row>
    <row r="19" customFormat="false" ht="15" hidden="false" customHeight="false" outlineLevel="0" collapsed="false">
      <c r="A19" s="51"/>
      <c r="B19" s="54"/>
      <c r="C19" s="20"/>
      <c r="D19" s="20"/>
      <c r="E19" s="20"/>
      <c r="F19" s="20"/>
      <c r="G19" s="20"/>
      <c r="H19" s="11" t="str">
        <f aca="false">IF(B19="","",IFERROR(INDEX(Program!$H$2:$H$75,MATCH(B19,Program!$D$2:$D$75,0)),""))</f>
        <v/>
      </c>
      <c r="I19" s="11" t="str">
        <f aca="false">IF(B19="","",IFERROR(INDEX(Program!$I$2:$I$75,MATCH(B19,Program!$D$2:$D$75,0)),""))</f>
        <v/>
      </c>
      <c r="J19" s="11" t="str">
        <f aca="false">IF(COUNT(D19:G19)=0,"",COUNT(D19:G19))</f>
        <v/>
      </c>
      <c r="K19" s="12" t="str">
        <f aca="false">IF(OR(J19="",I19=""),"",IF(MIN(D19:G19)&gt;=I19,"Add load (smallest step)",IF(MAX(D19:G19)&lt;H19,"Below range: if again, drop 5–10%","Same load, add reps")))</f>
        <v/>
      </c>
      <c r="L19" s="20"/>
      <c r="M19" s="11" t="str">
        <f aca="false">IF(OR(L19="",C19="",H19="",C19=0),"",MAX(H19,ROUNDUP(30*((L19/C19)*(1+H19/30)-1),0)))</f>
        <v/>
      </c>
    </row>
    <row r="20" customFormat="false" ht="15" hidden="false" customHeight="false" outlineLevel="0" collapsed="false">
      <c r="A20" s="51"/>
      <c r="B20" s="54"/>
      <c r="C20" s="20"/>
      <c r="D20" s="20"/>
      <c r="E20" s="20"/>
      <c r="F20" s="20"/>
      <c r="G20" s="20"/>
      <c r="H20" s="11" t="str">
        <f aca="false">IF(B20="","",IFERROR(INDEX(Program!$H$2:$H$75,MATCH(B20,Program!$D$2:$D$75,0)),""))</f>
        <v/>
      </c>
      <c r="I20" s="11" t="str">
        <f aca="false">IF(B20="","",IFERROR(INDEX(Program!$I$2:$I$75,MATCH(B20,Program!$D$2:$D$75,0)),""))</f>
        <v/>
      </c>
      <c r="J20" s="11" t="str">
        <f aca="false">IF(COUNT(D20:G20)=0,"",COUNT(D20:G20))</f>
        <v/>
      </c>
      <c r="K20" s="12" t="str">
        <f aca="false">IF(OR(J20="",I20=""),"",IF(MIN(D20:G20)&gt;=I20,"Add load (smallest step)",IF(MAX(D20:G20)&lt;H20,"Below range: if again, drop 5–10%","Same load, add reps")))</f>
        <v/>
      </c>
      <c r="L20" s="20"/>
      <c r="M20" s="11" t="str">
        <f aca="false">IF(OR(L20="",C20="",H20="",C20=0),"",MAX(H20,ROUNDUP(30*((L20/C20)*(1+H20/30)-1),0)))</f>
        <v/>
      </c>
    </row>
    <row r="21" customFormat="false" ht="15" hidden="false" customHeight="false" outlineLevel="0" collapsed="false">
      <c r="A21" s="51"/>
      <c r="B21" s="54"/>
      <c r="C21" s="20"/>
      <c r="D21" s="20"/>
      <c r="E21" s="20"/>
      <c r="F21" s="20"/>
      <c r="G21" s="20"/>
      <c r="H21" s="11" t="str">
        <f aca="false">IF(B21="","",IFERROR(INDEX(Program!$H$2:$H$75,MATCH(B21,Program!$D$2:$D$75,0)),""))</f>
        <v/>
      </c>
      <c r="I21" s="11" t="str">
        <f aca="false">IF(B21="","",IFERROR(INDEX(Program!$I$2:$I$75,MATCH(B21,Program!$D$2:$D$75,0)),""))</f>
        <v/>
      </c>
      <c r="J21" s="11" t="str">
        <f aca="false">IF(COUNT(D21:G21)=0,"",COUNT(D21:G21))</f>
        <v/>
      </c>
      <c r="K21" s="12" t="str">
        <f aca="false">IF(OR(J21="",I21=""),"",IF(MIN(D21:G21)&gt;=I21,"Add load (smallest step)",IF(MAX(D21:G21)&lt;H21,"Below range: if again, drop 5–10%","Same load, add reps")))</f>
        <v/>
      </c>
      <c r="L21" s="20"/>
      <c r="M21" s="11" t="str">
        <f aca="false">IF(OR(L21="",C21="",H21="",C21=0),"",MAX(H21,ROUNDUP(30*((L21/C21)*(1+H21/30)-1),0)))</f>
        <v/>
      </c>
    </row>
    <row r="22" customFormat="false" ht="15" hidden="false" customHeight="false" outlineLevel="0" collapsed="false">
      <c r="A22" s="51"/>
      <c r="B22" s="54"/>
      <c r="C22" s="20"/>
      <c r="D22" s="20"/>
      <c r="E22" s="20"/>
      <c r="F22" s="20"/>
      <c r="G22" s="20"/>
      <c r="H22" s="11" t="str">
        <f aca="false">IF(B22="","",IFERROR(INDEX(Program!$H$2:$H$75,MATCH(B22,Program!$D$2:$D$75,0)),""))</f>
        <v/>
      </c>
      <c r="I22" s="11" t="str">
        <f aca="false">IF(B22="","",IFERROR(INDEX(Program!$I$2:$I$75,MATCH(B22,Program!$D$2:$D$75,0)),""))</f>
        <v/>
      </c>
      <c r="J22" s="11" t="str">
        <f aca="false">IF(COUNT(D22:G22)=0,"",COUNT(D22:G22))</f>
        <v/>
      </c>
      <c r="K22" s="12" t="str">
        <f aca="false">IF(OR(J22="",I22=""),"",IF(MIN(D22:G22)&gt;=I22,"Add load (smallest step)",IF(MAX(D22:G22)&lt;H22,"Below range: if again, drop 5–10%","Same load, add reps")))</f>
        <v/>
      </c>
      <c r="L22" s="20"/>
      <c r="M22" s="11" t="str">
        <f aca="false">IF(OR(L22="",C22="",H22="",C22=0),"",MAX(H22,ROUNDUP(30*((L22/C22)*(1+H22/30)-1),0)))</f>
        <v/>
      </c>
    </row>
    <row r="23" customFormat="false" ht="15" hidden="false" customHeight="false" outlineLevel="0" collapsed="false">
      <c r="A23" s="51"/>
      <c r="B23" s="54"/>
      <c r="C23" s="20"/>
      <c r="D23" s="20"/>
      <c r="E23" s="20"/>
      <c r="F23" s="20"/>
      <c r="G23" s="20"/>
      <c r="H23" s="11" t="str">
        <f aca="false">IF(B23="","",IFERROR(INDEX(Program!$H$2:$H$75,MATCH(B23,Program!$D$2:$D$75,0)),""))</f>
        <v/>
      </c>
      <c r="I23" s="11" t="str">
        <f aca="false">IF(B23="","",IFERROR(INDEX(Program!$I$2:$I$75,MATCH(B23,Program!$D$2:$D$75,0)),""))</f>
        <v/>
      </c>
      <c r="J23" s="11" t="str">
        <f aca="false">IF(COUNT(D23:G23)=0,"",COUNT(D23:G23))</f>
        <v/>
      </c>
      <c r="K23" s="12" t="str">
        <f aca="false">IF(OR(J23="",I23=""),"",IF(MIN(D23:G23)&gt;=I23,"Add load (smallest step)",IF(MAX(D23:G23)&lt;H23,"Below range: if again, drop 5–10%","Same load, add reps")))</f>
        <v/>
      </c>
      <c r="L23" s="20"/>
      <c r="M23" s="11" t="str">
        <f aca="false">IF(OR(L23="",C23="",H23="",C23=0),"",MAX(H23,ROUNDUP(30*((L23/C23)*(1+H23/30)-1),0)))</f>
        <v/>
      </c>
    </row>
    <row r="24" customFormat="false" ht="15" hidden="false" customHeight="false" outlineLevel="0" collapsed="false">
      <c r="A24" s="51"/>
      <c r="B24" s="54"/>
      <c r="C24" s="20"/>
      <c r="D24" s="20"/>
      <c r="E24" s="20"/>
      <c r="F24" s="20"/>
      <c r="G24" s="20"/>
      <c r="H24" s="11" t="str">
        <f aca="false">IF(B24="","",IFERROR(INDEX(Program!$H$2:$H$75,MATCH(B24,Program!$D$2:$D$75,0)),""))</f>
        <v/>
      </c>
      <c r="I24" s="11" t="str">
        <f aca="false">IF(B24="","",IFERROR(INDEX(Program!$I$2:$I$75,MATCH(B24,Program!$D$2:$D$75,0)),""))</f>
        <v/>
      </c>
      <c r="J24" s="11" t="str">
        <f aca="false">IF(COUNT(D24:G24)=0,"",COUNT(D24:G24))</f>
        <v/>
      </c>
      <c r="K24" s="12" t="str">
        <f aca="false">IF(OR(J24="",I24=""),"",IF(MIN(D24:G24)&gt;=I24,"Add load (smallest step)",IF(MAX(D24:G24)&lt;H24,"Below range: if again, drop 5–10%","Same load, add reps")))</f>
        <v/>
      </c>
      <c r="L24" s="20"/>
      <c r="M24" s="11" t="str">
        <f aca="false">IF(OR(L24="",C24="",H24="",C24=0),"",MAX(H24,ROUNDUP(30*((L24/C24)*(1+H24/30)-1),0)))</f>
        <v/>
      </c>
    </row>
    <row r="25" customFormat="false" ht="15" hidden="false" customHeight="false" outlineLevel="0" collapsed="false">
      <c r="A25" s="51"/>
      <c r="B25" s="54"/>
      <c r="C25" s="20"/>
      <c r="D25" s="20"/>
      <c r="E25" s="20"/>
      <c r="F25" s="20"/>
      <c r="G25" s="20"/>
      <c r="H25" s="11" t="str">
        <f aca="false">IF(B25="","",IFERROR(INDEX(Program!$H$2:$H$75,MATCH(B25,Program!$D$2:$D$75,0)),""))</f>
        <v/>
      </c>
      <c r="I25" s="11" t="str">
        <f aca="false">IF(B25="","",IFERROR(INDEX(Program!$I$2:$I$75,MATCH(B25,Program!$D$2:$D$75,0)),""))</f>
        <v/>
      </c>
      <c r="J25" s="11" t="str">
        <f aca="false">IF(COUNT(D25:G25)=0,"",COUNT(D25:G25))</f>
        <v/>
      </c>
      <c r="K25" s="12" t="str">
        <f aca="false">IF(OR(J25="",I25=""),"",IF(MIN(D25:G25)&gt;=I25,"Add load (smallest step)",IF(MAX(D25:G25)&lt;H25,"Below range: if again, drop 5–10%","Same load, add reps")))</f>
        <v/>
      </c>
      <c r="L25" s="20"/>
      <c r="M25" s="11" t="str">
        <f aca="false">IF(OR(L25="",C25="",H25="",C25=0),"",MAX(H25,ROUNDUP(30*((L25/C25)*(1+H25/30)-1),0)))</f>
        <v/>
      </c>
    </row>
    <row r="26" customFormat="false" ht="15" hidden="false" customHeight="false" outlineLevel="0" collapsed="false">
      <c r="A26" s="51"/>
      <c r="B26" s="54"/>
      <c r="C26" s="20"/>
      <c r="D26" s="20"/>
      <c r="E26" s="20"/>
      <c r="F26" s="20"/>
      <c r="G26" s="20"/>
      <c r="H26" s="11" t="str">
        <f aca="false">IF(B26="","",IFERROR(INDEX(Program!$H$2:$H$75,MATCH(B26,Program!$D$2:$D$75,0)),""))</f>
        <v/>
      </c>
      <c r="I26" s="11" t="str">
        <f aca="false">IF(B26="","",IFERROR(INDEX(Program!$I$2:$I$75,MATCH(B26,Program!$D$2:$D$75,0)),""))</f>
        <v/>
      </c>
      <c r="J26" s="11" t="str">
        <f aca="false">IF(COUNT(D26:G26)=0,"",COUNT(D26:G26))</f>
        <v/>
      </c>
      <c r="K26" s="12" t="str">
        <f aca="false">IF(OR(J26="",I26=""),"",IF(MIN(D26:G26)&gt;=I26,"Add load (smallest step)",IF(MAX(D26:G26)&lt;H26,"Below range: if again, drop 5–10%","Same load, add reps")))</f>
        <v/>
      </c>
      <c r="L26" s="20"/>
      <c r="M26" s="11" t="str">
        <f aca="false">IF(OR(L26="",C26="",H26="",C26=0),"",MAX(H26,ROUNDUP(30*((L26/C26)*(1+H26/30)-1),0)))</f>
        <v/>
      </c>
    </row>
    <row r="27" customFormat="false" ht="15" hidden="false" customHeight="false" outlineLevel="0" collapsed="false">
      <c r="A27" s="51"/>
      <c r="B27" s="54"/>
      <c r="C27" s="20"/>
      <c r="D27" s="20"/>
      <c r="E27" s="20"/>
      <c r="F27" s="20"/>
      <c r="G27" s="20"/>
      <c r="H27" s="11" t="str">
        <f aca="false">IF(B27="","",IFERROR(INDEX(Program!$H$2:$H$75,MATCH(B27,Program!$D$2:$D$75,0)),""))</f>
        <v/>
      </c>
      <c r="I27" s="11" t="str">
        <f aca="false">IF(B27="","",IFERROR(INDEX(Program!$I$2:$I$75,MATCH(B27,Program!$D$2:$D$75,0)),""))</f>
        <v/>
      </c>
      <c r="J27" s="11" t="str">
        <f aca="false">IF(COUNT(D27:G27)=0,"",COUNT(D27:G27))</f>
        <v/>
      </c>
      <c r="K27" s="12" t="str">
        <f aca="false">IF(OR(J27="",I27=""),"",IF(MIN(D27:G27)&gt;=I27,"Add load (smallest step)",IF(MAX(D27:G27)&lt;H27,"Below range: if again, drop 5–10%","Same load, add reps")))</f>
        <v/>
      </c>
      <c r="L27" s="20"/>
      <c r="M27" s="11" t="str">
        <f aca="false">IF(OR(L27="",C27="",H27="",C27=0),"",MAX(H27,ROUNDUP(30*((L27/C27)*(1+H27/30)-1),0)))</f>
        <v/>
      </c>
    </row>
    <row r="28" customFormat="false" ht="15" hidden="false" customHeight="false" outlineLevel="0" collapsed="false">
      <c r="A28" s="51"/>
      <c r="B28" s="54"/>
      <c r="C28" s="20"/>
      <c r="D28" s="20"/>
      <c r="E28" s="20"/>
      <c r="F28" s="20"/>
      <c r="G28" s="20"/>
      <c r="H28" s="11" t="str">
        <f aca="false">IF(B28="","",IFERROR(INDEX(Program!$H$2:$H$75,MATCH(B28,Program!$D$2:$D$75,0)),""))</f>
        <v/>
      </c>
      <c r="I28" s="11" t="str">
        <f aca="false">IF(B28="","",IFERROR(INDEX(Program!$I$2:$I$75,MATCH(B28,Program!$D$2:$D$75,0)),""))</f>
        <v/>
      </c>
      <c r="J28" s="11" t="str">
        <f aca="false">IF(COUNT(D28:G28)=0,"",COUNT(D28:G28))</f>
        <v/>
      </c>
      <c r="K28" s="12" t="str">
        <f aca="false">IF(OR(J28="",I28=""),"",IF(MIN(D28:G28)&gt;=I28,"Add load (smallest step)",IF(MAX(D28:G28)&lt;H28,"Below range: if again, drop 5–10%","Same load, add reps")))</f>
        <v/>
      </c>
      <c r="L28" s="20"/>
      <c r="M28" s="11" t="str">
        <f aca="false">IF(OR(L28="",C28="",H28="",C28=0),"",MAX(H28,ROUNDUP(30*((L28/C28)*(1+H28/30)-1),0)))</f>
        <v/>
      </c>
    </row>
    <row r="29" customFormat="false" ht="15" hidden="false" customHeight="false" outlineLevel="0" collapsed="false">
      <c r="A29" s="51"/>
      <c r="B29" s="54"/>
      <c r="C29" s="20"/>
      <c r="D29" s="20"/>
      <c r="E29" s="20"/>
      <c r="F29" s="20"/>
      <c r="G29" s="20"/>
      <c r="H29" s="11" t="str">
        <f aca="false">IF(B29="","",IFERROR(INDEX(Program!$H$2:$H$75,MATCH(B29,Program!$D$2:$D$75,0)),""))</f>
        <v/>
      </c>
      <c r="I29" s="11" t="str">
        <f aca="false">IF(B29="","",IFERROR(INDEX(Program!$I$2:$I$75,MATCH(B29,Program!$D$2:$D$75,0)),""))</f>
        <v/>
      </c>
      <c r="J29" s="11" t="str">
        <f aca="false">IF(COUNT(D29:G29)=0,"",COUNT(D29:G29))</f>
        <v/>
      </c>
      <c r="K29" s="12" t="str">
        <f aca="false">IF(OR(J29="",I29=""),"",IF(MIN(D29:G29)&gt;=I29,"Add load (smallest step)",IF(MAX(D29:G29)&lt;H29,"Below range: if again, drop 5–10%","Same load, add reps")))</f>
        <v/>
      </c>
      <c r="L29" s="20"/>
      <c r="M29" s="11" t="str">
        <f aca="false">IF(OR(L29="",C29="",H29="",C29=0),"",MAX(H29,ROUNDUP(30*((L29/C29)*(1+H29/30)-1),0)))</f>
        <v/>
      </c>
    </row>
    <row r="30" customFormat="false" ht="15" hidden="false" customHeight="false" outlineLevel="0" collapsed="false">
      <c r="A30" s="51"/>
      <c r="B30" s="54"/>
      <c r="C30" s="20"/>
      <c r="D30" s="20"/>
      <c r="E30" s="20"/>
      <c r="F30" s="20"/>
      <c r="G30" s="20"/>
      <c r="H30" s="11" t="str">
        <f aca="false">IF(B30="","",IFERROR(INDEX(Program!$H$2:$H$75,MATCH(B30,Program!$D$2:$D$75,0)),""))</f>
        <v/>
      </c>
      <c r="I30" s="11" t="str">
        <f aca="false">IF(B30="","",IFERROR(INDEX(Program!$I$2:$I$75,MATCH(B30,Program!$D$2:$D$75,0)),""))</f>
        <v/>
      </c>
      <c r="J30" s="11" t="str">
        <f aca="false">IF(COUNT(D30:G30)=0,"",COUNT(D30:G30))</f>
        <v/>
      </c>
      <c r="K30" s="12" t="str">
        <f aca="false">IF(OR(J30="",I30=""),"",IF(MIN(D30:G30)&gt;=I30,"Add load (smallest step)",IF(MAX(D30:G30)&lt;H30,"Below range: if again, drop 5–10%","Same load, add reps")))</f>
        <v/>
      </c>
      <c r="L30" s="20"/>
      <c r="M30" s="11" t="str">
        <f aca="false">IF(OR(L30="",C30="",H30="",C30=0),"",MAX(H30,ROUNDUP(30*((L30/C30)*(1+H30/30)-1),0)))</f>
        <v/>
      </c>
    </row>
    <row r="31" customFormat="false" ht="15" hidden="false" customHeight="false" outlineLevel="0" collapsed="false">
      <c r="A31" s="51"/>
      <c r="B31" s="54"/>
      <c r="C31" s="20"/>
      <c r="D31" s="20"/>
      <c r="E31" s="20"/>
      <c r="F31" s="20"/>
      <c r="G31" s="20"/>
      <c r="H31" s="11" t="str">
        <f aca="false">IF(B31="","",IFERROR(INDEX(Program!$H$2:$H$75,MATCH(B31,Program!$D$2:$D$75,0)),""))</f>
        <v/>
      </c>
      <c r="I31" s="11" t="str">
        <f aca="false">IF(B31="","",IFERROR(INDEX(Program!$I$2:$I$75,MATCH(B31,Program!$D$2:$D$75,0)),""))</f>
        <v/>
      </c>
      <c r="J31" s="11" t="str">
        <f aca="false">IF(COUNT(D31:G31)=0,"",COUNT(D31:G31))</f>
        <v/>
      </c>
      <c r="K31" s="12" t="str">
        <f aca="false">IF(OR(J31="",I31=""),"",IF(MIN(D31:G31)&gt;=I31,"Add load (smallest step)",IF(MAX(D31:G31)&lt;H31,"Below range: if again, drop 5–10%","Same load, add reps")))</f>
        <v/>
      </c>
      <c r="L31" s="20"/>
      <c r="M31" s="11" t="str">
        <f aca="false">IF(OR(L31="",C31="",H31="",C31=0),"",MAX(H31,ROUNDUP(30*((L31/C31)*(1+H31/30)-1),0)))</f>
        <v/>
      </c>
    </row>
    <row r="32" customFormat="false" ht="15" hidden="false" customHeight="false" outlineLevel="0" collapsed="false">
      <c r="A32" s="51"/>
      <c r="B32" s="54"/>
      <c r="C32" s="20"/>
      <c r="D32" s="20"/>
      <c r="E32" s="20"/>
      <c r="F32" s="20"/>
      <c r="G32" s="20"/>
      <c r="H32" s="11" t="str">
        <f aca="false">IF(B32="","",IFERROR(INDEX(Program!$H$2:$H$75,MATCH(B32,Program!$D$2:$D$75,0)),""))</f>
        <v/>
      </c>
      <c r="I32" s="11" t="str">
        <f aca="false">IF(B32="","",IFERROR(INDEX(Program!$I$2:$I$75,MATCH(B32,Program!$D$2:$D$75,0)),""))</f>
        <v/>
      </c>
      <c r="J32" s="11" t="str">
        <f aca="false">IF(COUNT(D32:G32)=0,"",COUNT(D32:G32))</f>
        <v/>
      </c>
      <c r="K32" s="12" t="str">
        <f aca="false">IF(OR(J32="",I32=""),"",IF(MIN(D32:G32)&gt;=I32,"Add load (smallest step)",IF(MAX(D32:G32)&lt;H32,"Below range: if again, drop 5–10%","Same load, add reps")))</f>
        <v/>
      </c>
      <c r="L32" s="20"/>
      <c r="M32" s="11" t="str">
        <f aca="false">IF(OR(L32="",C32="",H32="",C32=0),"",MAX(H32,ROUNDUP(30*((L32/C32)*(1+H32/30)-1),0)))</f>
        <v/>
      </c>
    </row>
    <row r="33" customFormat="false" ht="15" hidden="false" customHeight="false" outlineLevel="0" collapsed="false">
      <c r="A33" s="51"/>
      <c r="B33" s="54"/>
      <c r="C33" s="20"/>
      <c r="D33" s="20"/>
      <c r="E33" s="20"/>
      <c r="F33" s="20"/>
      <c r="G33" s="20"/>
      <c r="H33" s="11" t="str">
        <f aca="false">IF(B33="","",IFERROR(INDEX(Program!$H$2:$H$75,MATCH(B33,Program!$D$2:$D$75,0)),""))</f>
        <v/>
      </c>
      <c r="I33" s="11" t="str">
        <f aca="false">IF(B33="","",IFERROR(INDEX(Program!$I$2:$I$75,MATCH(B33,Program!$D$2:$D$75,0)),""))</f>
        <v/>
      </c>
      <c r="J33" s="11" t="str">
        <f aca="false">IF(COUNT(D33:G33)=0,"",COUNT(D33:G33))</f>
        <v/>
      </c>
      <c r="K33" s="12" t="str">
        <f aca="false">IF(OR(J33="",I33=""),"",IF(MIN(D33:G33)&gt;=I33,"Add load (smallest step)",IF(MAX(D33:G33)&lt;H33,"Below range: if again, drop 5–10%","Same load, add reps")))</f>
        <v/>
      </c>
      <c r="L33" s="20"/>
      <c r="M33" s="11" t="str">
        <f aca="false">IF(OR(L33="",C33="",H33="",C33=0),"",MAX(H33,ROUNDUP(30*((L33/C33)*(1+H33/30)-1),0)))</f>
        <v/>
      </c>
    </row>
    <row r="34" customFormat="false" ht="15" hidden="false" customHeight="false" outlineLevel="0" collapsed="false">
      <c r="A34" s="51"/>
      <c r="B34" s="54"/>
      <c r="C34" s="20"/>
      <c r="D34" s="20"/>
      <c r="E34" s="20"/>
      <c r="F34" s="20"/>
      <c r="G34" s="20"/>
      <c r="H34" s="11" t="str">
        <f aca="false">IF(B34="","",IFERROR(INDEX(Program!$H$2:$H$75,MATCH(B34,Program!$D$2:$D$75,0)),""))</f>
        <v/>
      </c>
      <c r="I34" s="11" t="str">
        <f aca="false">IF(B34="","",IFERROR(INDEX(Program!$I$2:$I$75,MATCH(B34,Program!$D$2:$D$75,0)),""))</f>
        <v/>
      </c>
      <c r="J34" s="11" t="str">
        <f aca="false">IF(COUNT(D34:G34)=0,"",COUNT(D34:G34))</f>
        <v/>
      </c>
      <c r="K34" s="12" t="str">
        <f aca="false">IF(OR(J34="",I34=""),"",IF(MIN(D34:G34)&gt;=I34,"Add load (smallest step)",IF(MAX(D34:G34)&lt;H34,"Below range: if again, drop 5–10%","Same load, add reps")))</f>
        <v/>
      </c>
      <c r="L34" s="20"/>
      <c r="M34" s="11" t="str">
        <f aca="false">IF(OR(L34="",C34="",H34="",C34=0),"",MAX(H34,ROUNDUP(30*((L34/C34)*(1+H34/30)-1),0)))</f>
        <v/>
      </c>
    </row>
    <row r="35" customFormat="false" ht="15" hidden="false" customHeight="false" outlineLevel="0" collapsed="false">
      <c r="A35" s="51"/>
      <c r="B35" s="54"/>
      <c r="C35" s="20"/>
      <c r="D35" s="20"/>
      <c r="E35" s="20"/>
      <c r="F35" s="20"/>
      <c r="G35" s="20"/>
      <c r="H35" s="11" t="str">
        <f aca="false">IF(B35="","",IFERROR(INDEX(Program!$H$2:$H$75,MATCH(B35,Program!$D$2:$D$75,0)),""))</f>
        <v/>
      </c>
      <c r="I35" s="11" t="str">
        <f aca="false">IF(B35="","",IFERROR(INDEX(Program!$I$2:$I$75,MATCH(B35,Program!$D$2:$D$75,0)),""))</f>
        <v/>
      </c>
      <c r="J35" s="11" t="str">
        <f aca="false">IF(COUNT(D35:G35)=0,"",COUNT(D35:G35))</f>
        <v/>
      </c>
      <c r="K35" s="12" t="str">
        <f aca="false">IF(OR(J35="",I35=""),"",IF(MIN(D35:G35)&gt;=I35,"Add load (smallest step)",IF(MAX(D35:G35)&lt;H35,"Below range: if again, drop 5–10%","Same load, add reps")))</f>
        <v/>
      </c>
      <c r="L35" s="20"/>
      <c r="M35" s="11" t="str">
        <f aca="false">IF(OR(L35="",C35="",H35="",C35=0),"",MAX(H35,ROUNDUP(30*((L35/C35)*(1+H35/30)-1),0)))</f>
        <v/>
      </c>
    </row>
    <row r="36" customFormat="false" ht="15" hidden="false" customHeight="false" outlineLevel="0" collapsed="false">
      <c r="A36" s="51"/>
      <c r="B36" s="54"/>
      <c r="C36" s="20"/>
      <c r="D36" s="20"/>
      <c r="E36" s="20"/>
      <c r="F36" s="20"/>
      <c r="G36" s="20"/>
      <c r="H36" s="11" t="str">
        <f aca="false">IF(B36="","",IFERROR(INDEX(Program!$H$2:$H$75,MATCH(B36,Program!$D$2:$D$75,0)),""))</f>
        <v/>
      </c>
      <c r="I36" s="11" t="str">
        <f aca="false">IF(B36="","",IFERROR(INDEX(Program!$I$2:$I$75,MATCH(B36,Program!$D$2:$D$75,0)),""))</f>
        <v/>
      </c>
      <c r="J36" s="11" t="str">
        <f aca="false">IF(COUNT(D36:G36)=0,"",COUNT(D36:G36))</f>
        <v/>
      </c>
      <c r="K36" s="12" t="str">
        <f aca="false">IF(OR(J36="",I36=""),"",IF(MIN(D36:G36)&gt;=I36,"Add load (smallest step)",IF(MAX(D36:G36)&lt;H36,"Below range: if again, drop 5–10%","Same load, add reps")))</f>
        <v/>
      </c>
      <c r="L36" s="20"/>
      <c r="M36" s="11" t="str">
        <f aca="false">IF(OR(L36="",C36="",H36="",C36=0),"",MAX(H36,ROUNDUP(30*((L36/C36)*(1+H36/30)-1),0)))</f>
        <v/>
      </c>
    </row>
    <row r="37" customFormat="false" ht="15" hidden="false" customHeight="false" outlineLevel="0" collapsed="false">
      <c r="A37" s="51"/>
      <c r="B37" s="54"/>
      <c r="C37" s="20"/>
      <c r="D37" s="20"/>
      <c r="E37" s="20"/>
      <c r="F37" s="20"/>
      <c r="G37" s="20"/>
      <c r="H37" s="11" t="str">
        <f aca="false">IF(B37="","",IFERROR(INDEX(Program!$H$2:$H$75,MATCH(B37,Program!$D$2:$D$75,0)),""))</f>
        <v/>
      </c>
      <c r="I37" s="11" t="str">
        <f aca="false">IF(B37="","",IFERROR(INDEX(Program!$I$2:$I$75,MATCH(B37,Program!$D$2:$D$75,0)),""))</f>
        <v/>
      </c>
      <c r="J37" s="11" t="str">
        <f aca="false">IF(COUNT(D37:G37)=0,"",COUNT(D37:G37))</f>
        <v/>
      </c>
      <c r="K37" s="12" t="str">
        <f aca="false">IF(OR(J37="",I37=""),"",IF(MIN(D37:G37)&gt;=I37,"Add load (smallest step)",IF(MAX(D37:G37)&lt;H37,"Below range: if again, drop 5–10%","Same load, add reps")))</f>
        <v/>
      </c>
      <c r="L37" s="20"/>
      <c r="M37" s="11" t="str">
        <f aca="false">IF(OR(L37="",C37="",H37="",C37=0),"",MAX(H37,ROUNDUP(30*((L37/C37)*(1+H37/30)-1),0)))</f>
        <v/>
      </c>
    </row>
    <row r="38" customFormat="false" ht="15" hidden="false" customHeight="false" outlineLevel="0" collapsed="false">
      <c r="A38" s="51"/>
      <c r="B38" s="54"/>
      <c r="C38" s="20"/>
      <c r="D38" s="20"/>
      <c r="E38" s="20"/>
      <c r="F38" s="20"/>
      <c r="G38" s="20"/>
      <c r="H38" s="11" t="str">
        <f aca="false">IF(B38="","",IFERROR(INDEX(Program!$H$2:$H$75,MATCH(B38,Program!$D$2:$D$75,0)),""))</f>
        <v/>
      </c>
      <c r="I38" s="11" t="str">
        <f aca="false">IF(B38="","",IFERROR(INDEX(Program!$I$2:$I$75,MATCH(B38,Program!$D$2:$D$75,0)),""))</f>
        <v/>
      </c>
      <c r="J38" s="11" t="str">
        <f aca="false">IF(COUNT(D38:G38)=0,"",COUNT(D38:G38))</f>
        <v/>
      </c>
      <c r="K38" s="12" t="str">
        <f aca="false">IF(OR(J38="",I38=""),"",IF(MIN(D38:G38)&gt;=I38,"Add load (smallest step)",IF(MAX(D38:G38)&lt;H38,"Below range: if again, drop 5–10%","Same load, add reps")))</f>
        <v/>
      </c>
      <c r="L38" s="20"/>
      <c r="M38" s="11" t="str">
        <f aca="false">IF(OR(L38="",C38="",H38="",C38=0),"",MAX(H38,ROUNDUP(30*((L38/C38)*(1+H38/30)-1),0)))</f>
        <v/>
      </c>
    </row>
    <row r="39" customFormat="false" ht="15" hidden="false" customHeight="false" outlineLevel="0" collapsed="false">
      <c r="A39" s="51"/>
      <c r="B39" s="54"/>
      <c r="C39" s="20"/>
      <c r="D39" s="20"/>
      <c r="E39" s="20"/>
      <c r="F39" s="20"/>
      <c r="G39" s="20"/>
      <c r="H39" s="11" t="str">
        <f aca="false">IF(B39="","",IFERROR(INDEX(Program!$H$2:$H$75,MATCH(B39,Program!$D$2:$D$75,0)),""))</f>
        <v/>
      </c>
      <c r="I39" s="11" t="str">
        <f aca="false">IF(B39="","",IFERROR(INDEX(Program!$I$2:$I$75,MATCH(B39,Program!$D$2:$D$75,0)),""))</f>
        <v/>
      </c>
      <c r="J39" s="11" t="str">
        <f aca="false">IF(COUNT(D39:G39)=0,"",COUNT(D39:G39))</f>
        <v/>
      </c>
      <c r="K39" s="12" t="str">
        <f aca="false">IF(OR(J39="",I39=""),"",IF(MIN(D39:G39)&gt;=I39,"Add load (smallest step)",IF(MAX(D39:G39)&lt;H39,"Below range: if again, drop 5–10%","Same load, add reps")))</f>
        <v/>
      </c>
      <c r="L39" s="20"/>
      <c r="M39" s="11" t="str">
        <f aca="false">IF(OR(L39="",C39="",H39="",C39=0),"",MAX(H39,ROUNDUP(30*((L39/C39)*(1+H39/30)-1),0)))</f>
        <v/>
      </c>
    </row>
    <row r="40" customFormat="false" ht="15" hidden="false" customHeight="false" outlineLevel="0" collapsed="false">
      <c r="A40" s="51"/>
      <c r="B40" s="54"/>
      <c r="C40" s="20"/>
      <c r="D40" s="20"/>
      <c r="E40" s="20"/>
      <c r="F40" s="20"/>
      <c r="G40" s="20"/>
      <c r="H40" s="11" t="str">
        <f aca="false">IF(B40="","",IFERROR(INDEX(Program!$H$2:$H$75,MATCH(B40,Program!$D$2:$D$75,0)),""))</f>
        <v/>
      </c>
      <c r="I40" s="11" t="str">
        <f aca="false">IF(B40="","",IFERROR(INDEX(Program!$I$2:$I$75,MATCH(B40,Program!$D$2:$D$75,0)),""))</f>
        <v/>
      </c>
      <c r="J40" s="11" t="str">
        <f aca="false">IF(COUNT(D40:G40)=0,"",COUNT(D40:G40))</f>
        <v/>
      </c>
      <c r="K40" s="12" t="str">
        <f aca="false">IF(OR(J40="",I40=""),"",IF(MIN(D40:G40)&gt;=I40,"Add load (smallest step)",IF(MAX(D40:G40)&lt;H40,"Below range: if again, drop 5–10%","Same load, add reps")))</f>
        <v/>
      </c>
      <c r="L40" s="20"/>
      <c r="M40" s="11" t="str">
        <f aca="false">IF(OR(L40="",C40="",H40="",C40=0),"",MAX(H40,ROUNDUP(30*((L40/C40)*(1+H40/30)-1),0)))</f>
        <v/>
      </c>
    </row>
    <row r="41" customFormat="false" ht="15" hidden="false" customHeight="false" outlineLevel="0" collapsed="false">
      <c r="A41" s="51"/>
      <c r="B41" s="54"/>
      <c r="C41" s="20"/>
      <c r="D41" s="20"/>
      <c r="E41" s="20"/>
      <c r="F41" s="20"/>
      <c r="G41" s="20"/>
      <c r="H41" s="11" t="str">
        <f aca="false">IF(B41="","",IFERROR(INDEX(Program!$H$2:$H$75,MATCH(B41,Program!$D$2:$D$75,0)),""))</f>
        <v/>
      </c>
      <c r="I41" s="11" t="str">
        <f aca="false">IF(B41="","",IFERROR(INDEX(Program!$I$2:$I$75,MATCH(B41,Program!$D$2:$D$75,0)),""))</f>
        <v/>
      </c>
      <c r="J41" s="11" t="str">
        <f aca="false">IF(COUNT(D41:G41)=0,"",COUNT(D41:G41))</f>
        <v/>
      </c>
      <c r="K41" s="12" t="str">
        <f aca="false">IF(OR(J41="",I41=""),"",IF(MIN(D41:G41)&gt;=I41,"Add load (smallest step)",IF(MAX(D41:G41)&lt;H41,"Below range: if again, drop 5–10%","Same load, add reps")))</f>
        <v/>
      </c>
      <c r="L41" s="20"/>
      <c r="M41" s="11" t="str">
        <f aca="false">IF(OR(L41="",C41="",H41="",C41=0),"",MAX(H41,ROUNDUP(30*((L41/C41)*(1+H41/30)-1),0)))</f>
        <v/>
      </c>
    </row>
    <row r="42" customFormat="false" ht="15" hidden="false" customHeight="false" outlineLevel="0" collapsed="false">
      <c r="A42" s="51"/>
      <c r="B42" s="54"/>
      <c r="C42" s="20"/>
      <c r="D42" s="20"/>
      <c r="E42" s="20"/>
      <c r="F42" s="20"/>
      <c r="G42" s="20"/>
      <c r="H42" s="11" t="str">
        <f aca="false">IF(B42="","",IFERROR(INDEX(Program!$H$2:$H$75,MATCH(B42,Program!$D$2:$D$75,0)),""))</f>
        <v/>
      </c>
      <c r="I42" s="11" t="str">
        <f aca="false">IF(B42="","",IFERROR(INDEX(Program!$I$2:$I$75,MATCH(B42,Program!$D$2:$D$75,0)),""))</f>
        <v/>
      </c>
      <c r="J42" s="11" t="str">
        <f aca="false">IF(COUNT(D42:G42)=0,"",COUNT(D42:G42))</f>
        <v/>
      </c>
      <c r="K42" s="12" t="str">
        <f aca="false">IF(OR(J42="",I42=""),"",IF(MIN(D42:G42)&gt;=I42,"Add load (smallest step)",IF(MAX(D42:G42)&lt;H42,"Below range: if again, drop 5–10%","Same load, add reps")))</f>
        <v/>
      </c>
      <c r="L42" s="20"/>
      <c r="M42" s="11" t="str">
        <f aca="false">IF(OR(L42="",C42="",H42="",C42=0),"",MAX(H42,ROUNDUP(30*((L42/C42)*(1+H42/30)-1),0)))</f>
        <v/>
      </c>
    </row>
    <row r="43" customFormat="false" ht="15" hidden="false" customHeight="false" outlineLevel="0" collapsed="false">
      <c r="A43" s="51"/>
      <c r="B43" s="54"/>
      <c r="C43" s="20"/>
      <c r="D43" s="20"/>
      <c r="E43" s="20"/>
      <c r="F43" s="20"/>
      <c r="G43" s="20"/>
      <c r="H43" s="11" t="str">
        <f aca="false">IF(B43="","",IFERROR(INDEX(Program!$H$2:$H$75,MATCH(B43,Program!$D$2:$D$75,0)),""))</f>
        <v/>
      </c>
      <c r="I43" s="11" t="str">
        <f aca="false">IF(B43="","",IFERROR(INDEX(Program!$I$2:$I$75,MATCH(B43,Program!$D$2:$D$75,0)),""))</f>
        <v/>
      </c>
      <c r="J43" s="11" t="str">
        <f aca="false">IF(COUNT(D43:G43)=0,"",COUNT(D43:G43))</f>
        <v/>
      </c>
      <c r="K43" s="12" t="str">
        <f aca="false">IF(OR(J43="",I43=""),"",IF(MIN(D43:G43)&gt;=I43,"Add load (smallest step)",IF(MAX(D43:G43)&lt;H43,"Below range: if again, drop 5–10%","Same load, add reps")))</f>
        <v/>
      </c>
      <c r="L43" s="20"/>
      <c r="M43" s="11" t="str">
        <f aca="false">IF(OR(L43="",C43="",H43="",C43=0),"",MAX(H43,ROUNDUP(30*((L43/C43)*(1+H43/30)-1),0)))</f>
        <v/>
      </c>
    </row>
    <row r="44" customFormat="false" ht="15" hidden="false" customHeight="false" outlineLevel="0" collapsed="false">
      <c r="A44" s="51"/>
      <c r="B44" s="54"/>
      <c r="C44" s="20"/>
      <c r="D44" s="20"/>
      <c r="E44" s="20"/>
      <c r="F44" s="20"/>
      <c r="G44" s="20"/>
      <c r="H44" s="11" t="str">
        <f aca="false">IF(B44="","",IFERROR(INDEX(Program!$H$2:$H$75,MATCH(B44,Program!$D$2:$D$75,0)),""))</f>
        <v/>
      </c>
      <c r="I44" s="11" t="str">
        <f aca="false">IF(B44="","",IFERROR(INDEX(Program!$I$2:$I$75,MATCH(B44,Program!$D$2:$D$75,0)),""))</f>
        <v/>
      </c>
      <c r="J44" s="11" t="str">
        <f aca="false">IF(COUNT(D44:G44)=0,"",COUNT(D44:G44))</f>
        <v/>
      </c>
      <c r="K44" s="12" t="str">
        <f aca="false">IF(OR(J44="",I44=""),"",IF(MIN(D44:G44)&gt;=I44,"Add load (smallest step)",IF(MAX(D44:G44)&lt;H44,"Below range: if again, drop 5–10%","Same load, add reps")))</f>
        <v/>
      </c>
      <c r="L44" s="20"/>
      <c r="M44" s="11" t="str">
        <f aca="false">IF(OR(L44="",C44="",H44="",C44=0),"",MAX(H44,ROUNDUP(30*((L44/C44)*(1+H44/30)-1),0)))</f>
        <v/>
      </c>
    </row>
    <row r="45" customFormat="false" ht="15" hidden="false" customHeight="false" outlineLevel="0" collapsed="false">
      <c r="A45" s="51"/>
      <c r="B45" s="54"/>
      <c r="C45" s="20"/>
      <c r="D45" s="20"/>
      <c r="E45" s="20"/>
      <c r="F45" s="20"/>
      <c r="G45" s="20"/>
      <c r="H45" s="11" t="str">
        <f aca="false">IF(B45="","",IFERROR(INDEX(Program!$H$2:$H$75,MATCH(B45,Program!$D$2:$D$75,0)),""))</f>
        <v/>
      </c>
      <c r="I45" s="11" t="str">
        <f aca="false">IF(B45="","",IFERROR(INDEX(Program!$I$2:$I$75,MATCH(B45,Program!$D$2:$D$75,0)),""))</f>
        <v/>
      </c>
      <c r="J45" s="11" t="str">
        <f aca="false">IF(COUNT(D45:G45)=0,"",COUNT(D45:G45))</f>
        <v/>
      </c>
      <c r="K45" s="12" t="str">
        <f aca="false">IF(OR(J45="",I45=""),"",IF(MIN(D45:G45)&gt;=I45,"Add load (smallest step)",IF(MAX(D45:G45)&lt;H45,"Below range: if again, drop 5–10%","Same load, add reps")))</f>
        <v/>
      </c>
      <c r="L45" s="20"/>
      <c r="M45" s="11" t="str">
        <f aca="false">IF(OR(L45="",C45="",H45="",C45=0),"",MAX(H45,ROUNDUP(30*((L45/C45)*(1+H45/30)-1),0)))</f>
        <v/>
      </c>
    </row>
    <row r="46" customFormat="false" ht="15" hidden="false" customHeight="false" outlineLevel="0" collapsed="false">
      <c r="A46" s="51"/>
      <c r="B46" s="54"/>
      <c r="C46" s="20"/>
      <c r="D46" s="20"/>
      <c r="E46" s="20"/>
      <c r="F46" s="20"/>
      <c r="G46" s="20"/>
      <c r="H46" s="11" t="str">
        <f aca="false">IF(B46="","",IFERROR(INDEX(Program!$H$2:$H$75,MATCH(B46,Program!$D$2:$D$75,0)),""))</f>
        <v/>
      </c>
      <c r="I46" s="11" t="str">
        <f aca="false">IF(B46="","",IFERROR(INDEX(Program!$I$2:$I$75,MATCH(B46,Program!$D$2:$D$75,0)),""))</f>
        <v/>
      </c>
      <c r="J46" s="11" t="str">
        <f aca="false">IF(COUNT(D46:G46)=0,"",COUNT(D46:G46))</f>
        <v/>
      </c>
      <c r="K46" s="12" t="str">
        <f aca="false">IF(OR(J46="",I46=""),"",IF(MIN(D46:G46)&gt;=I46,"Add load (smallest step)",IF(MAX(D46:G46)&lt;H46,"Below range: if again, drop 5–10%","Same load, add reps")))</f>
        <v/>
      </c>
      <c r="L46" s="20"/>
      <c r="M46" s="11" t="str">
        <f aca="false">IF(OR(L46="",C46="",H46="",C46=0),"",MAX(H46,ROUNDUP(30*((L46/C46)*(1+H46/30)-1),0)))</f>
        <v/>
      </c>
    </row>
    <row r="47" customFormat="false" ht="15" hidden="false" customHeight="false" outlineLevel="0" collapsed="false">
      <c r="A47" s="51"/>
      <c r="B47" s="54"/>
      <c r="C47" s="20"/>
      <c r="D47" s="20"/>
      <c r="E47" s="20"/>
      <c r="F47" s="20"/>
      <c r="G47" s="20"/>
      <c r="H47" s="11" t="str">
        <f aca="false">IF(B47="","",IFERROR(INDEX(Program!$H$2:$H$75,MATCH(B47,Program!$D$2:$D$75,0)),""))</f>
        <v/>
      </c>
      <c r="I47" s="11" t="str">
        <f aca="false">IF(B47="","",IFERROR(INDEX(Program!$I$2:$I$75,MATCH(B47,Program!$D$2:$D$75,0)),""))</f>
        <v/>
      </c>
      <c r="J47" s="11" t="str">
        <f aca="false">IF(COUNT(D47:G47)=0,"",COUNT(D47:G47))</f>
        <v/>
      </c>
      <c r="K47" s="12" t="str">
        <f aca="false">IF(OR(J47="",I47=""),"",IF(MIN(D47:G47)&gt;=I47,"Add load (smallest step)",IF(MAX(D47:G47)&lt;H47,"Below range: if again, drop 5–10%","Same load, add reps")))</f>
        <v/>
      </c>
      <c r="L47" s="20"/>
      <c r="M47" s="11" t="str">
        <f aca="false">IF(OR(L47="",C47="",H47="",C47=0),"",MAX(H47,ROUNDUP(30*((L47/C47)*(1+H47/30)-1),0)))</f>
        <v/>
      </c>
    </row>
    <row r="48" customFormat="false" ht="15" hidden="false" customHeight="false" outlineLevel="0" collapsed="false">
      <c r="A48" s="51"/>
      <c r="B48" s="54"/>
      <c r="C48" s="20"/>
      <c r="D48" s="20"/>
      <c r="E48" s="20"/>
      <c r="F48" s="20"/>
      <c r="G48" s="20"/>
      <c r="H48" s="11" t="str">
        <f aca="false">IF(B48="","",IFERROR(INDEX(Program!$H$2:$H$75,MATCH(B48,Program!$D$2:$D$75,0)),""))</f>
        <v/>
      </c>
      <c r="I48" s="11" t="str">
        <f aca="false">IF(B48="","",IFERROR(INDEX(Program!$I$2:$I$75,MATCH(B48,Program!$D$2:$D$75,0)),""))</f>
        <v/>
      </c>
      <c r="J48" s="11" t="str">
        <f aca="false">IF(COUNT(D48:G48)=0,"",COUNT(D48:G48))</f>
        <v/>
      </c>
      <c r="K48" s="12" t="str">
        <f aca="false">IF(OR(J48="",I48=""),"",IF(MIN(D48:G48)&gt;=I48,"Add load (smallest step)",IF(MAX(D48:G48)&lt;H48,"Below range: if again, drop 5–10%","Same load, add reps")))</f>
        <v/>
      </c>
      <c r="L48" s="20"/>
      <c r="M48" s="11" t="str">
        <f aca="false">IF(OR(L48="",C48="",H48="",C48=0),"",MAX(H48,ROUNDUP(30*((L48/C48)*(1+H48/30)-1),0)))</f>
        <v/>
      </c>
    </row>
    <row r="49" customFormat="false" ht="15" hidden="false" customHeight="false" outlineLevel="0" collapsed="false">
      <c r="A49" s="51"/>
      <c r="B49" s="54"/>
      <c r="C49" s="20"/>
      <c r="D49" s="20"/>
      <c r="E49" s="20"/>
      <c r="F49" s="20"/>
      <c r="G49" s="20"/>
      <c r="H49" s="11" t="str">
        <f aca="false">IF(B49="","",IFERROR(INDEX(Program!$H$2:$H$75,MATCH(B49,Program!$D$2:$D$75,0)),""))</f>
        <v/>
      </c>
      <c r="I49" s="11" t="str">
        <f aca="false">IF(B49="","",IFERROR(INDEX(Program!$I$2:$I$75,MATCH(B49,Program!$D$2:$D$75,0)),""))</f>
        <v/>
      </c>
      <c r="J49" s="11" t="str">
        <f aca="false">IF(COUNT(D49:G49)=0,"",COUNT(D49:G49))</f>
        <v/>
      </c>
      <c r="K49" s="12" t="str">
        <f aca="false">IF(OR(J49="",I49=""),"",IF(MIN(D49:G49)&gt;=I49,"Add load (smallest step)",IF(MAX(D49:G49)&lt;H49,"Below range: if again, drop 5–10%","Same load, add reps")))</f>
        <v/>
      </c>
      <c r="L49" s="20"/>
      <c r="M49" s="11" t="str">
        <f aca="false">IF(OR(L49="",C49="",H49="",C49=0),"",MAX(H49,ROUNDUP(30*((L49/C49)*(1+H49/30)-1),0)))</f>
        <v/>
      </c>
    </row>
    <row r="50" customFormat="false" ht="15" hidden="false" customHeight="false" outlineLevel="0" collapsed="false">
      <c r="A50" s="51"/>
      <c r="B50" s="54"/>
      <c r="C50" s="20"/>
      <c r="D50" s="20"/>
      <c r="E50" s="20"/>
      <c r="F50" s="20"/>
      <c r="G50" s="20"/>
      <c r="H50" s="11" t="str">
        <f aca="false">IF(B50="","",IFERROR(INDEX(Program!$H$2:$H$75,MATCH(B50,Program!$D$2:$D$75,0)),""))</f>
        <v/>
      </c>
      <c r="I50" s="11" t="str">
        <f aca="false">IF(B50="","",IFERROR(INDEX(Program!$I$2:$I$75,MATCH(B50,Program!$D$2:$D$75,0)),""))</f>
        <v/>
      </c>
      <c r="J50" s="11" t="str">
        <f aca="false">IF(COUNT(D50:G50)=0,"",COUNT(D50:G50))</f>
        <v/>
      </c>
      <c r="K50" s="12" t="str">
        <f aca="false">IF(OR(J50="",I50=""),"",IF(MIN(D50:G50)&gt;=I50,"Add load (smallest step)",IF(MAX(D50:G50)&lt;H50,"Below range: if again, drop 5–10%","Same load, add reps")))</f>
        <v/>
      </c>
      <c r="L50" s="20"/>
      <c r="M50" s="11" t="str">
        <f aca="false">IF(OR(L50="",C50="",H50="",C50=0),"",MAX(H50,ROUNDUP(30*((L50/C50)*(1+H50/30)-1),0)))</f>
        <v/>
      </c>
    </row>
    <row r="51" customFormat="false" ht="15" hidden="false" customHeight="false" outlineLevel="0" collapsed="false">
      <c r="A51" s="51"/>
      <c r="B51" s="54"/>
      <c r="C51" s="20"/>
      <c r="D51" s="20"/>
      <c r="E51" s="20"/>
      <c r="F51" s="20"/>
      <c r="G51" s="20"/>
      <c r="H51" s="11" t="str">
        <f aca="false">IF(B51="","",IFERROR(INDEX(Program!$H$2:$H$75,MATCH(B51,Program!$D$2:$D$75,0)),""))</f>
        <v/>
      </c>
      <c r="I51" s="11" t="str">
        <f aca="false">IF(B51="","",IFERROR(INDEX(Program!$I$2:$I$75,MATCH(B51,Program!$D$2:$D$75,0)),""))</f>
        <v/>
      </c>
      <c r="J51" s="11" t="str">
        <f aca="false">IF(COUNT(D51:G51)=0,"",COUNT(D51:G51))</f>
        <v/>
      </c>
      <c r="K51" s="12" t="str">
        <f aca="false">IF(OR(J51="",I51=""),"",IF(MIN(D51:G51)&gt;=I51,"Add load (smallest step)",IF(MAX(D51:G51)&lt;H51,"Below range: if again, drop 5–10%","Same load, add reps")))</f>
        <v/>
      </c>
      <c r="L51" s="20"/>
      <c r="M51" s="11" t="str">
        <f aca="false">IF(OR(L51="",C51="",H51="",C51=0),"",MAX(H51,ROUNDUP(30*((L51/C51)*(1+H51/30)-1),0)))</f>
        <v/>
      </c>
    </row>
    <row r="52" customFormat="false" ht="15" hidden="false" customHeight="false" outlineLevel="0" collapsed="false">
      <c r="A52" s="51"/>
      <c r="B52" s="54"/>
      <c r="C52" s="20"/>
      <c r="D52" s="20"/>
      <c r="E52" s="20"/>
      <c r="F52" s="20"/>
      <c r="G52" s="20"/>
      <c r="H52" s="11" t="str">
        <f aca="false">IF(B52="","",IFERROR(INDEX(Program!$H$2:$H$75,MATCH(B52,Program!$D$2:$D$75,0)),""))</f>
        <v/>
      </c>
      <c r="I52" s="11" t="str">
        <f aca="false">IF(B52="","",IFERROR(INDEX(Program!$I$2:$I$75,MATCH(B52,Program!$D$2:$D$75,0)),""))</f>
        <v/>
      </c>
      <c r="J52" s="11" t="str">
        <f aca="false">IF(COUNT(D52:G52)=0,"",COUNT(D52:G52))</f>
        <v/>
      </c>
      <c r="K52" s="12" t="str">
        <f aca="false">IF(OR(J52="",I52=""),"",IF(MIN(D52:G52)&gt;=I52,"Add load (smallest step)",IF(MAX(D52:G52)&lt;H52,"Below range: if again, drop 5–10%","Same load, add reps")))</f>
        <v/>
      </c>
      <c r="L52" s="20"/>
      <c r="M52" s="11" t="str">
        <f aca="false">IF(OR(L52="",C52="",H52="",C52=0),"",MAX(H52,ROUNDUP(30*((L52/C52)*(1+H52/30)-1),0)))</f>
        <v/>
      </c>
    </row>
    <row r="53" customFormat="false" ht="15" hidden="false" customHeight="false" outlineLevel="0" collapsed="false">
      <c r="A53" s="51"/>
      <c r="B53" s="54"/>
      <c r="C53" s="20"/>
      <c r="D53" s="20"/>
      <c r="E53" s="20"/>
      <c r="F53" s="20"/>
      <c r="G53" s="20"/>
      <c r="H53" s="11" t="str">
        <f aca="false">IF(B53="","",IFERROR(INDEX(Program!$H$2:$H$75,MATCH(B53,Program!$D$2:$D$75,0)),""))</f>
        <v/>
      </c>
      <c r="I53" s="11" t="str">
        <f aca="false">IF(B53="","",IFERROR(INDEX(Program!$I$2:$I$75,MATCH(B53,Program!$D$2:$D$75,0)),""))</f>
        <v/>
      </c>
      <c r="J53" s="11" t="str">
        <f aca="false">IF(COUNT(D53:G53)=0,"",COUNT(D53:G53))</f>
        <v/>
      </c>
      <c r="K53" s="12" t="str">
        <f aca="false">IF(OR(J53="",I53=""),"",IF(MIN(D53:G53)&gt;=I53,"Add load (smallest step)",IF(MAX(D53:G53)&lt;H53,"Below range: if again, drop 5–10%","Same load, add reps")))</f>
        <v/>
      </c>
      <c r="L53" s="20"/>
      <c r="M53" s="11" t="str">
        <f aca="false">IF(OR(L53="",C53="",H53="",C53=0),"",MAX(H53,ROUNDUP(30*((L53/C53)*(1+H53/30)-1),0)))</f>
        <v/>
      </c>
    </row>
    <row r="54" customFormat="false" ht="15" hidden="false" customHeight="false" outlineLevel="0" collapsed="false">
      <c r="A54" s="51"/>
      <c r="B54" s="54"/>
      <c r="C54" s="20"/>
      <c r="D54" s="20"/>
      <c r="E54" s="20"/>
      <c r="F54" s="20"/>
      <c r="G54" s="20"/>
      <c r="H54" s="11" t="str">
        <f aca="false">IF(B54="","",IFERROR(INDEX(Program!$H$2:$H$75,MATCH(B54,Program!$D$2:$D$75,0)),""))</f>
        <v/>
      </c>
      <c r="I54" s="11" t="str">
        <f aca="false">IF(B54="","",IFERROR(INDEX(Program!$I$2:$I$75,MATCH(B54,Program!$D$2:$D$75,0)),""))</f>
        <v/>
      </c>
      <c r="J54" s="11" t="str">
        <f aca="false">IF(COUNT(D54:G54)=0,"",COUNT(D54:G54))</f>
        <v/>
      </c>
      <c r="K54" s="12" t="str">
        <f aca="false">IF(OR(J54="",I54=""),"",IF(MIN(D54:G54)&gt;=I54,"Add load (smallest step)",IF(MAX(D54:G54)&lt;H54,"Below range: if again, drop 5–10%","Same load, add reps")))</f>
        <v/>
      </c>
      <c r="L54" s="20"/>
      <c r="M54" s="11" t="str">
        <f aca="false">IF(OR(L54="",C54="",H54="",C54=0),"",MAX(H54,ROUNDUP(30*((L54/C54)*(1+H54/30)-1),0)))</f>
        <v/>
      </c>
    </row>
    <row r="55" customFormat="false" ht="15" hidden="false" customHeight="false" outlineLevel="0" collapsed="false">
      <c r="A55" s="51"/>
      <c r="B55" s="54"/>
      <c r="C55" s="20"/>
      <c r="D55" s="20"/>
      <c r="E55" s="20"/>
      <c r="F55" s="20"/>
      <c r="G55" s="20"/>
      <c r="H55" s="11" t="str">
        <f aca="false">IF(B55="","",IFERROR(INDEX(Program!$H$2:$H$75,MATCH(B55,Program!$D$2:$D$75,0)),""))</f>
        <v/>
      </c>
      <c r="I55" s="11" t="str">
        <f aca="false">IF(B55="","",IFERROR(INDEX(Program!$I$2:$I$75,MATCH(B55,Program!$D$2:$D$75,0)),""))</f>
        <v/>
      </c>
      <c r="J55" s="11" t="str">
        <f aca="false">IF(COUNT(D55:G55)=0,"",COUNT(D55:G55))</f>
        <v/>
      </c>
      <c r="K55" s="12" t="str">
        <f aca="false">IF(OR(J55="",I55=""),"",IF(MIN(D55:G55)&gt;=I55,"Add load (smallest step)",IF(MAX(D55:G55)&lt;H55,"Below range: if again, drop 5–10%","Same load, add reps")))</f>
        <v/>
      </c>
      <c r="L55" s="20"/>
      <c r="M55" s="11" t="str">
        <f aca="false">IF(OR(L55="",C55="",H55="",C55=0),"",MAX(H55,ROUNDUP(30*((L55/C55)*(1+H55/30)-1),0)))</f>
        <v/>
      </c>
    </row>
    <row r="56" customFormat="false" ht="15" hidden="false" customHeight="false" outlineLevel="0" collapsed="false">
      <c r="A56" s="51"/>
      <c r="B56" s="54"/>
      <c r="C56" s="20"/>
      <c r="D56" s="20"/>
      <c r="E56" s="20"/>
      <c r="F56" s="20"/>
      <c r="G56" s="20"/>
      <c r="H56" s="11" t="str">
        <f aca="false">IF(B56="","",IFERROR(INDEX(Program!$H$2:$H$75,MATCH(B56,Program!$D$2:$D$75,0)),""))</f>
        <v/>
      </c>
      <c r="I56" s="11" t="str">
        <f aca="false">IF(B56="","",IFERROR(INDEX(Program!$I$2:$I$75,MATCH(B56,Program!$D$2:$D$75,0)),""))</f>
        <v/>
      </c>
      <c r="J56" s="11" t="str">
        <f aca="false">IF(COUNT(D56:G56)=0,"",COUNT(D56:G56))</f>
        <v/>
      </c>
      <c r="K56" s="12" t="str">
        <f aca="false">IF(OR(J56="",I56=""),"",IF(MIN(D56:G56)&gt;=I56,"Add load (smallest step)",IF(MAX(D56:G56)&lt;H56,"Below range: if again, drop 5–10%","Same load, add reps")))</f>
        <v/>
      </c>
      <c r="L56" s="20"/>
      <c r="M56" s="11" t="str">
        <f aca="false">IF(OR(L56="",C56="",H56="",C56=0),"",MAX(H56,ROUNDUP(30*((L56/C56)*(1+H56/30)-1),0)))</f>
        <v/>
      </c>
    </row>
    <row r="57" customFormat="false" ht="15" hidden="false" customHeight="false" outlineLevel="0" collapsed="false">
      <c r="A57" s="51"/>
      <c r="B57" s="54"/>
      <c r="C57" s="20"/>
      <c r="D57" s="20"/>
      <c r="E57" s="20"/>
      <c r="F57" s="20"/>
      <c r="G57" s="20"/>
      <c r="H57" s="11" t="str">
        <f aca="false">IF(B57="","",IFERROR(INDEX(Program!$H$2:$H$75,MATCH(B57,Program!$D$2:$D$75,0)),""))</f>
        <v/>
      </c>
      <c r="I57" s="11" t="str">
        <f aca="false">IF(B57="","",IFERROR(INDEX(Program!$I$2:$I$75,MATCH(B57,Program!$D$2:$D$75,0)),""))</f>
        <v/>
      </c>
      <c r="J57" s="11" t="str">
        <f aca="false">IF(COUNT(D57:G57)=0,"",COUNT(D57:G57))</f>
        <v/>
      </c>
      <c r="K57" s="12" t="str">
        <f aca="false">IF(OR(J57="",I57=""),"",IF(MIN(D57:G57)&gt;=I57,"Add load (smallest step)",IF(MAX(D57:G57)&lt;H57,"Below range: if again, drop 5–10%","Same load, add reps")))</f>
        <v/>
      </c>
      <c r="L57" s="20"/>
      <c r="M57" s="11" t="str">
        <f aca="false">IF(OR(L57="",C57="",H57="",C57=0),"",MAX(H57,ROUNDUP(30*((L57/C57)*(1+H57/30)-1),0)))</f>
        <v/>
      </c>
    </row>
    <row r="58" customFormat="false" ht="15" hidden="false" customHeight="false" outlineLevel="0" collapsed="false">
      <c r="A58" s="51"/>
      <c r="B58" s="54"/>
      <c r="C58" s="20"/>
      <c r="D58" s="20"/>
      <c r="E58" s="20"/>
      <c r="F58" s="20"/>
      <c r="G58" s="20"/>
      <c r="H58" s="11" t="str">
        <f aca="false">IF(B58="","",IFERROR(INDEX(Program!$H$2:$H$75,MATCH(B58,Program!$D$2:$D$75,0)),""))</f>
        <v/>
      </c>
      <c r="I58" s="11" t="str">
        <f aca="false">IF(B58="","",IFERROR(INDEX(Program!$I$2:$I$75,MATCH(B58,Program!$D$2:$D$75,0)),""))</f>
        <v/>
      </c>
      <c r="J58" s="11" t="str">
        <f aca="false">IF(COUNT(D58:G58)=0,"",COUNT(D58:G58))</f>
        <v/>
      </c>
      <c r="K58" s="12" t="str">
        <f aca="false">IF(OR(J58="",I58=""),"",IF(MIN(D58:G58)&gt;=I58,"Add load (smallest step)",IF(MAX(D58:G58)&lt;H58,"Below range: if again, drop 5–10%","Same load, add reps")))</f>
        <v/>
      </c>
      <c r="L58" s="20"/>
      <c r="M58" s="11" t="str">
        <f aca="false">IF(OR(L58="",C58="",H58="",C58=0),"",MAX(H58,ROUNDUP(30*((L58/C58)*(1+H58/30)-1),0)))</f>
        <v/>
      </c>
    </row>
    <row r="59" customFormat="false" ht="15" hidden="false" customHeight="false" outlineLevel="0" collapsed="false">
      <c r="A59" s="51"/>
      <c r="B59" s="54"/>
      <c r="C59" s="20"/>
      <c r="D59" s="20"/>
      <c r="E59" s="20"/>
      <c r="F59" s="20"/>
      <c r="G59" s="20"/>
      <c r="H59" s="11" t="str">
        <f aca="false">IF(B59="","",IFERROR(INDEX(Program!$H$2:$H$75,MATCH(B59,Program!$D$2:$D$75,0)),""))</f>
        <v/>
      </c>
      <c r="I59" s="11" t="str">
        <f aca="false">IF(B59="","",IFERROR(INDEX(Program!$I$2:$I$75,MATCH(B59,Program!$D$2:$D$75,0)),""))</f>
        <v/>
      </c>
      <c r="J59" s="11" t="str">
        <f aca="false">IF(COUNT(D59:G59)=0,"",COUNT(D59:G59))</f>
        <v/>
      </c>
      <c r="K59" s="12" t="str">
        <f aca="false">IF(OR(J59="",I59=""),"",IF(MIN(D59:G59)&gt;=I59,"Add load (smallest step)",IF(MAX(D59:G59)&lt;H59,"Below range: if again, drop 5–10%","Same load, add reps")))</f>
        <v/>
      </c>
      <c r="L59" s="20"/>
      <c r="M59" s="11" t="str">
        <f aca="false">IF(OR(L59="",C59="",H59="",C59=0),"",MAX(H59,ROUNDUP(30*((L59/C59)*(1+H59/30)-1),0)))</f>
        <v/>
      </c>
    </row>
    <row r="60" customFormat="false" ht="15" hidden="false" customHeight="false" outlineLevel="0" collapsed="false">
      <c r="A60" s="51"/>
      <c r="B60" s="54"/>
      <c r="C60" s="20"/>
      <c r="D60" s="20"/>
      <c r="E60" s="20"/>
      <c r="F60" s="20"/>
      <c r="G60" s="20"/>
      <c r="H60" s="11" t="str">
        <f aca="false">IF(B60="","",IFERROR(INDEX(Program!$H$2:$H$75,MATCH(B60,Program!$D$2:$D$75,0)),""))</f>
        <v/>
      </c>
      <c r="I60" s="11" t="str">
        <f aca="false">IF(B60="","",IFERROR(INDEX(Program!$I$2:$I$75,MATCH(B60,Program!$D$2:$D$75,0)),""))</f>
        <v/>
      </c>
      <c r="J60" s="11" t="str">
        <f aca="false">IF(COUNT(D60:G60)=0,"",COUNT(D60:G60))</f>
        <v/>
      </c>
      <c r="K60" s="12" t="str">
        <f aca="false">IF(OR(J60="",I60=""),"",IF(MIN(D60:G60)&gt;=I60,"Add load (smallest step)",IF(MAX(D60:G60)&lt;H60,"Below range: if again, drop 5–10%","Same load, add reps")))</f>
        <v/>
      </c>
      <c r="L60" s="20"/>
      <c r="M60" s="11" t="str">
        <f aca="false">IF(OR(L60="",C60="",H60="",C60=0),"",MAX(H60,ROUNDUP(30*((L60/C60)*(1+H60/30)-1),0)))</f>
        <v/>
      </c>
    </row>
    <row r="61" customFormat="false" ht="15" hidden="false" customHeight="false" outlineLevel="0" collapsed="false">
      <c r="A61" s="51"/>
      <c r="B61" s="54"/>
      <c r="C61" s="20"/>
      <c r="D61" s="20"/>
      <c r="E61" s="20"/>
      <c r="F61" s="20"/>
      <c r="G61" s="20"/>
      <c r="H61" s="11" t="str">
        <f aca="false">IF(B61="","",IFERROR(INDEX(Program!$H$2:$H$75,MATCH(B61,Program!$D$2:$D$75,0)),""))</f>
        <v/>
      </c>
      <c r="I61" s="11" t="str">
        <f aca="false">IF(B61="","",IFERROR(INDEX(Program!$I$2:$I$75,MATCH(B61,Program!$D$2:$D$75,0)),""))</f>
        <v/>
      </c>
      <c r="J61" s="11" t="str">
        <f aca="false">IF(COUNT(D61:G61)=0,"",COUNT(D61:G61))</f>
        <v/>
      </c>
      <c r="K61" s="12" t="str">
        <f aca="false">IF(OR(J61="",I61=""),"",IF(MIN(D61:G61)&gt;=I61,"Add load (smallest step)",IF(MAX(D61:G61)&lt;H61,"Below range: if again, drop 5–10%","Same load, add reps")))</f>
        <v/>
      </c>
      <c r="L61" s="20"/>
      <c r="M61" s="11" t="str">
        <f aca="false">IF(OR(L61="",C61="",H61="",C61=0),"",MAX(H61,ROUNDUP(30*((L61/C61)*(1+H61/30)-1),0)))</f>
        <v/>
      </c>
    </row>
    <row r="62" customFormat="false" ht="15" hidden="false" customHeight="false" outlineLevel="0" collapsed="false">
      <c r="A62" s="51"/>
      <c r="B62" s="54"/>
      <c r="C62" s="20"/>
      <c r="D62" s="20"/>
      <c r="E62" s="20"/>
      <c r="F62" s="20"/>
      <c r="G62" s="20"/>
      <c r="H62" s="11" t="str">
        <f aca="false">IF(B62="","",IFERROR(INDEX(Program!$H$2:$H$75,MATCH(B62,Program!$D$2:$D$75,0)),""))</f>
        <v/>
      </c>
      <c r="I62" s="11" t="str">
        <f aca="false">IF(B62="","",IFERROR(INDEX(Program!$I$2:$I$75,MATCH(B62,Program!$D$2:$D$75,0)),""))</f>
        <v/>
      </c>
      <c r="J62" s="11" t="str">
        <f aca="false">IF(COUNT(D62:G62)=0,"",COUNT(D62:G62))</f>
        <v/>
      </c>
      <c r="K62" s="12" t="str">
        <f aca="false">IF(OR(J62="",I62=""),"",IF(MIN(D62:G62)&gt;=I62,"Add load (smallest step)",IF(MAX(D62:G62)&lt;H62,"Below range: if again, drop 5–10%","Same load, add reps")))</f>
        <v/>
      </c>
      <c r="L62" s="20"/>
      <c r="M62" s="11" t="str">
        <f aca="false">IF(OR(L62="",C62="",H62="",C62=0),"",MAX(H62,ROUNDUP(30*((L62/C62)*(1+H62/30)-1),0)))</f>
        <v/>
      </c>
    </row>
    <row r="63" customFormat="false" ht="15" hidden="false" customHeight="false" outlineLevel="0" collapsed="false">
      <c r="A63" s="51"/>
      <c r="B63" s="54"/>
      <c r="C63" s="20"/>
      <c r="D63" s="20"/>
      <c r="E63" s="20"/>
      <c r="F63" s="20"/>
      <c r="G63" s="20"/>
      <c r="H63" s="11" t="str">
        <f aca="false">IF(B63="","",IFERROR(INDEX(Program!$H$2:$H$75,MATCH(B63,Program!$D$2:$D$75,0)),""))</f>
        <v/>
      </c>
      <c r="I63" s="11" t="str">
        <f aca="false">IF(B63="","",IFERROR(INDEX(Program!$I$2:$I$75,MATCH(B63,Program!$D$2:$D$75,0)),""))</f>
        <v/>
      </c>
      <c r="J63" s="11" t="str">
        <f aca="false">IF(COUNT(D63:G63)=0,"",COUNT(D63:G63))</f>
        <v/>
      </c>
      <c r="K63" s="12" t="str">
        <f aca="false">IF(OR(J63="",I63=""),"",IF(MIN(D63:G63)&gt;=I63,"Add load (smallest step)",IF(MAX(D63:G63)&lt;H63,"Below range: if again, drop 5–10%","Same load, add reps")))</f>
        <v/>
      </c>
      <c r="L63" s="20"/>
      <c r="M63" s="11" t="str">
        <f aca="false">IF(OR(L63="",C63="",H63="",C63=0),"",MAX(H63,ROUNDUP(30*((L63/C63)*(1+H63/30)-1),0)))</f>
        <v/>
      </c>
    </row>
    <row r="64" customFormat="false" ht="15" hidden="false" customHeight="false" outlineLevel="0" collapsed="false">
      <c r="A64" s="51"/>
      <c r="B64" s="54"/>
      <c r="C64" s="20"/>
      <c r="D64" s="20"/>
      <c r="E64" s="20"/>
      <c r="F64" s="20"/>
      <c r="G64" s="20"/>
      <c r="H64" s="11" t="str">
        <f aca="false">IF(B64="","",IFERROR(INDEX(Program!$H$2:$H$75,MATCH(B64,Program!$D$2:$D$75,0)),""))</f>
        <v/>
      </c>
      <c r="I64" s="11" t="str">
        <f aca="false">IF(B64="","",IFERROR(INDEX(Program!$I$2:$I$75,MATCH(B64,Program!$D$2:$D$75,0)),""))</f>
        <v/>
      </c>
      <c r="J64" s="11" t="str">
        <f aca="false">IF(COUNT(D64:G64)=0,"",COUNT(D64:G64))</f>
        <v/>
      </c>
      <c r="K64" s="12" t="str">
        <f aca="false">IF(OR(J64="",I64=""),"",IF(MIN(D64:G64)&gt;=I64,"Add load (smallest step)",IF(MAX(D64:G64)&lt;H64,"Below range: if again, drop 5–10%","Same load, add reps")))</f>
        <v/>
      </c>
      <c r="L64" s="20"/>
      <c r="M64" s="11" t="str">
        <f aca="false">IF(OR(L64="",C64="",H64="",C64=0),"",MAX(H64,ROUNDUP(30*((L64/C64)*(1+H64/30)-1),0)))</f>
        <v/>
      </c>
    </row>
    <row r="65" customFormat="false" ht="15" hidden="false" customHeight="false" outlineLevel="0" collapsed="false">
      <c r="A65" s="51"/>
      <c r="B65" s="54"/>
      <c r="C65" s="20"/>
      <c r="D65" s="20"/>
      <c r="E65" s="20"/>
      <c r="F65" s="20"/>
      <c r="G65" s="20"/>
      <c r="H65" s="11" t="str">
        <f aca="false">IF(B65="","",IFERROR(INDEX(Program!$H$2:$H$75,MATCH(B65,Program!$D$2:$D$75,0)),""))</f>
        <v/>
      </c>
      <c r="I65" s="11" t="str">
        <f aca="false">IF(B65="","",IFERROR(INDEX(Program!$I$2:$I$75,MATCH(B65,Program!$D$2:$D$75,0)),""))</f>
        <v/>
      </c>
      <c r="J65" s="11" t="str">
        <f aca="false">IF(COUNT(D65:G65)=0,"",COUNT(D65:G65))</f>
        <v/>
      </c>
      <c r="K65" s="12" t="str">
        <f aca="false">IF(OR(J65="",I65=""),"",IF(MIN(D65:G65)&gt;=I65,"Add load (smallest step)",IF(MAX(D65:G65)&lt;H65,"Below range: if again, drop 5–10%","Same load, add reps")))</f>
        <v/>
      </c>
      <c r="L65" s="20"/>
      <c r="M65" s="11" t="str">
        <f aca="false">IF(OR(L65="",C65="",H65="",C65=0),"",MAX(H65,ROUNDUP(30*((L65/C65)*(1+H65/30)-1),0)))</f>
        <v/>
      </c>
    </row>
    <row r="66" customFormat="false" ht="15" hidden="false" customHeight="false" outlineLevel="0" collapsed="false">
      <c r="A66" s="51"/>
      <c r="B66" s="54"/>
      <c r="C66" s="20"/>
      <c r="D66" s="20"/>
      <c r="E66" s="20"/>
      <c r="F66" s="20"/>
      <c r="G66" s="20"/>
      <c r="H66" s="11" t="str">
        <f aca="false">IF(B66="","",IFERROR(INDEX(Program!$H$2:$H$75,MATCH(B66,Program!$D$2:$D$75,0)),""))</f>
        <v/>
      </c>
      <c r="I66" s="11" t="str">
        <f aca="false">IF(B66="","",IFERROR(INDEX(Program!$I$2:$I$75,MATCH(B66,Program!$D$2:$D$75,0)),""))</f>
        <v/>
      </c>
      <c r="J66" s="11" t="str">
        <f aca="false">IF(COUNT(D66:G66)=0,"",COUNT(D66:G66))</f>
        <v/>
      </c>
      <c r="K66" s="12" t="str">
        <f aca="false">IF(OR(J66="",I66=""),"",IF(MIN(D66:G66)&gt;=I66,"Add load (smallest step)",IF(MAX(D66:G66)&lt;H66,"Below range: if again, drop 5–10%","Same load, add reps")))</f>
        <v/>
      </c>
      <c r="L66" s="20"/>
      <c r="M66" s="11" t="str">
        <f aca="false">IF(OR(L66="",C66="",H66="",C66=0),"",MAX(H66,ROUNDUP(30*((L66/C66)*(1+H66/30)-1),0)))</f>
        <v/>
      </c>
    </row>
    <row r="67" customFormat="false" ht="15" hidden="false" customHeight="false" outlineLevel="0" collapsed="false">
      <c r="A67" s="51"/>
      <c r="B67" s="54"/>
      <c r="C67" s="20"/>
      <c r="D67" s="20"/>
      <c r="E67" s="20"/>
      <c r="F67" s="20"/>
      <c r="G67" s="20"/>
      <c r="H67" s="11" t="str">
        <f aca="false">IF(B67="","",IFERROR(INDEX(Program!$H$2:$H$75,MATCH(B67,Program!$D$2:$D$75,0)),""))</f>
        <v/>
      </c>
      <c r="I67" s="11" t="str">
        <f aca="false">IF(B67="","",IFERROR(INDEX(Program!$I$2:$I$75,MATCH(B67,Program!$D$2:$D$75,0)),""))</f>
        <v/>
      </c>
      <c r="J67" s="11" t="str">
        <f aca="false">IF(COUNT(D67:G67)=0,"",COUNT(D67:G67))</f>
        <v/>
      </c>
      <c r="K67" s="12" t="str">
        <f aca="false">IF(OR(J67="",I67=""),"",IF(MIN(D67:G67)&gt;=I67,"Add load (smallest step)",IF(MAX(D67:G67)&lt;H67,"Below range: if again, drop 5–10%","Same load, add reps")))</f>
        <v/>
      </c>
      <c r="L67" s="20"/>
      <c r="M67" s="11" t="str">
        <f aca="false">IF(OR(L67="",C67="",H67="",C67=0),"",MAX(H67,ROUNDUP(30*((L67/C67)*(1+H67/30)-1),0)))</f>
        <v/>
      </c>
    </row>
    <row r="68" customFormat="false" ht="15" hidden="false" customHeight="false" outlineLevel="0" collapsed="false">
      <c r="A68" s="51"/>
      <c r="B68" s="54"/>
      <c r="C68" s="20"/>
      <c r="D68" s="20"/>
      <c r="E68" s="20"/>
      <c r="F68" s="20"/>
      <c r="G68" s="20"/>
      <c r="H68" s="11" t="str">
        <f aca="false">IF(B68="","",IFERROR(INDEX(Program!$H$2:$H$75,MATCH(B68,Program!$D$2:$D$75,0)),""))</f>
        <v/>
      </c>
      <c r="I68" s="11" t="str">
        <f aca="false">IF(B68="","",IFERROR(INDEX(Program!$I$2:$I$75,MATCH(B68,Program!$D$2:$D$75,0)),""))</f>
        <v/>
      </c>
      <c r="J68" s="11" t="str">
        <f aca="false">IF(COUNT(D68:G68)=0,"",COUNT(D68:G68))</f>
        <v/>
      </c>
      <c r="K68" s="12" t="str">
        <f aca="false">IF(OR(J68="",I68=""),"",IF(MIN(D68:G68)&gt;=I68,"Add load (smallest step)",IF(MAX(D68:G68)&lt;H68,"Below range: if again, drop 5–10%","Same load, add reps")))</f>
        <v/>
      </c>
      <c r="L68" s="20"/>
      <c r="M68" s="11" t="str">
        <f aca="false">IF(OR(L68="",C68="",H68="",C68=0),"",MAX(H68,ROUNDUP(30*((L68/C68)*(1+H68/30)-1),0)))</f>
        <v/>
      </c>
    </row>
    <row r="69" customFormat="false" ht="15" hidden="false" customHeight="false" outlineLevel="0" collapsed="false">
      <c r="A69" s="51"/>
      <c r="B69" s="54"/>
      <c r="C69" s="20"/>
      <c r="D69" s="20"/>
      <c r="E69" s="20"/>
      <c r="F69" s="20"/>
      <c r="G69" s="20"/>
      <c r="H69" s="11" t="str">
        <f aca="false">IF(B69="","",IFERROR(INDEX(Program!$H$2:$H$75,MATCH(B69,Program!$D$2:$D$75,0)),""))</f>
        <v/>
      </c>
      <c r="I69" s="11" t="str">
        <f aca="false">IF(B69="","",IFERROR(INDEX(Program!$I$2:$I$75,MATCH(B69,Program!$D$2:$D$75,0)),""))</f>
        <v/>
      </c>
      <c r="J69" s="11" t="str">
        <f aca="false">IF(COUNT(D69:G69)=0,"",COUNT(D69:G69))</f>
        <v/>
      </c>
      <c r="K69" s="12" t="str">
        <f aca="false">IF(OR(J69="",I69=""),"",IF(MIN(D69:G69)&gt;=I69,"Add load (smallest step)",IF(MAX(D69:G69)&lt;H69,"Below range: if again, drop 5–10%","Same load, add reps")))</f>
        <v/>
      </c>
      <c r="L69" s="20"/>
      <c r="M69" s="11" t="str">
        <f aca="false">IF(OR(L69="",C69="",H69="",C69=0),"",MAX(H69,ROUNDUP(30*((L69/C69)*(1+H69/30)-1),0)))</f>
        <v/>
      </c>
    </row>
    <row r="70" customFormat="false" ht="15" hidden="false" customHeight="false" outlineLevel="0" collapsed="false">
      <c r="A70" s="51"/>
      <c r="B70" s="54"/>
      <c r="C70" s="20"/>
      <c r="D70" s="20"/>
      <c r="E70" s="20"/>
      <c r="F70" s="20"/>
      <c r="G70" s="20"/>
      <c r="H70" s="11" t="str">
        <f aca="false">IF(B70="","",IFERROR(INDEX(Program!$H$2:$H$75,MATCH(B70,Program!$D$2:$D$75,0)),""))</f>
        <v/>
      </c>
      <c r="I70" s="11" t="str">
        <f aca="false">IF(B70="","",IFERROR(INDEX(Program!$I$2:$I$75,MATCH(B70,Program!$D$2:$D$75,0)),""))</f>
        <v/>
      </c>
      <c r="J70" s="11" t="str">
        <f aca="false">IF(COUNT(D70:G70)=0,"",COUNT(D70:G70))</f>
        <v/>
      </c>
      <c r="K70" s="12" t="str">
        <f aca="false">IF(OR(J70="",I70=""),"",IF(MIN(D70:G70)&gt;=I70,"Add load (smallest step)",IF(MAX(D70:G70)&lt;H70,"Below range: if again, drop 5–10%","Same load, add reps")))</f>
        <v/>
      </c>
      <c r="L70" s="20"/>
      <c r="M70" s="11" t="str">
        <f aca="false">IF(OR(L70="",C70="",H70="",C70=0),"",MAX(H70,ROUNDUP(30*((L70/C70)*(1+H70/30)-1),0)))</f>
        <v/>
      </c>
    </row>
    <row r="71" customFormat="false" ht="15" hidden="false" customHeight="false" outlineLevel="0" collapsed="false">
      <c r="A71" s="51"/>
      <c r="B71" s="54"/>
      <c r="C71" s="20"/>
      <c r="D71" s="20"/>
      <c r="E71" s="20"/>
      <c r="F71" s="20"/>
      <c r="G71" s="20"/>
      <c r="H71" s="11" t="str">
        <f aca="false">IF(B71="","",IFERROR(INDEX(Program!$H$2:$H$75,MATCH(B71,Program!$D$2:$D$75,0)),""))</f>
        <v/>
      </c>
      <c r="I71" s="11" t="str">
        <f aca="false">IF(B71="","",IFERROR(INDEX(Program!$I$2:$I$75,MATCH(B71,Program!$D$2:$D$75,0)),""))</f>
        <v/>
      </c>
      <c r="J71" s="11" t="str">
        <f aca="false">IF(COUNT(D71:G71)=0,"",COUNT(D71:G71))</f>
        <v/>
      </c>
      <c r="K71" s="12" t="str">
        <f aca="false">IF(OR(J71="",I71=""),"",IF(MIN(D71:G71)&gt;=I71,"Add load (smallest step)",IF(MAX(D71:G71)&lt;H71,"Below range: if again, drop 5–10%","Same load, add reps")))</f>
        <v/>
      </c>
      <c r="L71" s="20"/>
      <c r="M71" s="11" t="str">
        <f aca="false">IF(OR(L71="",C71="",H71="",C71=0),"",MAX(H71,ROUNDUP(30*((L71/C71)*(1+H71/30)-1),0)))</f>
        <v/>
      </c>
    </row>
    <row r="72" customFormat="false" ht="15" hidden="false" customHeight="false" outlineLevel="0" collapsed="false">
      <c r="A72" s="51"/>
      <c r="B72" s="54"/>
      <c r="C72" s="20"/>
      <c r="D72" s="20"/>
      <c r="E72" s="20"/>
      <c r="F72" s="20"/>
      <c r="G72" s="20"/>
      <c r="H72" s="11" t="str">
        <f aca="false">IF(B72="","",IFERROR(INDEX(Program!$H$2:$H$75,MATCH(B72,Program!$D$2:$D$75,0)),""))</f>
        <v/>
      </c>
      <c r="I72" s="11" t="str">
        <f aca="false">IF(B72="","",IFERROR(INDEX(Program!$I$2:$I$75,MATCH(B72,Program!$D$2:$D$75,0)),""))</f>
        <v/>
      </c>
      <c r="J72" s="11" t="str">
        <f aca="false">IF(COUNT(D72:G72)=0,"",COUNT(D72:G72))</f>
        <v/>
      </c>
      <c r="K72" s="12" t="str">
        <f aca="false">IF(OR(J72="",I72=""),"",IF(MIN(D72:G72)&gt;=I72,"Add load (smallest step)",IF(MAX(D72:G72)&lt;H72,"Below range: if again, drop 5–10%","Same load, add reps")))</f>
        <v/>
      </c>
      <c r="L72" s="20"/>
      <c r="M72" s="11" t="str">
        <f aca="false">IF(OR(L72="",C72="",H72="",C72=0),"",MAX(H72,ROUNDUP(30*((L72/C72)*(1+H72/30)-1),0)))</f>
        <v/>
      </c>
    </row>
    <row r="73" customFormat="false" ht="15" hidden="false" customHeight="false" outlineLevel="0" collapsed="false">
      <c r="A73" s="51"/>
      <c r="B73" s="54"/>
      <c r="C73" s="20"/>
      <c r="D73" s="20"/>
      <c r="E73" s="20"/>
      <c r="F73" s="20"/>
      <c r="G73" s="20"/>
      <c r="H73" s="11" t="str">
        <f aca="false">IF(B73="","",IFERROR(INDEX(Program!$H$2:$H$75,MATCH(B73,Program!$D$2:$D$75,0)),""))</f>
        <v/>
      </c>
      <c r="I73" s="11" t="str">
        <f aca="false">IF(B73="","",IFERROR(INDEX(Program!$I$2:$I$75,MATCH(B73,Program!$D$2:$D$75,0)),""))</f>
        <v/>
      </c>
      <c r="J73" s="11" t="str">
        <f aca="false">IF(COUNT(D73:G73)=0,"",COUNT(D73:G73))</f>
        <v/>
      </c>
      <c r="K73" s="12" t="str">
        <f aca="false">IF(OR(J73="",I73=""),"",IF(MIN(D73:G73)&gt;=I73,"Add load (smallest step)",IF(MAX(D73:G73)&lt;H73,"Below range: if again, drop 5–10%","Same load, add reps")))</f>
        <v/>
      </c>
      <c r="L73" s="20"/>
      <c r="M73" s="11" t="str">
        <f aca="false">IF(OR(L73="",C73="",H73="",C73=0),"",MAX(H73,ROUNDUP(30*((L73/C73)*(1+H73/30)-1),0)))</f>
        <v/>
      </c>
    </row>
    <row r="74" customFormat="false" ht="15" hidden="false" customHeight="false" outlineLevel="0" collapsed="false">
      <c r="A74" s="51"/>
      <c r="B74" s="54"/>
      <c r="C74" s="20"/>
      <c r="D74" s="20"/>
      <c r="E74" s="20"/>
      <c r="F74" s="20"/>
      <c r="G74" s="20"/>
      <c r="H74" s="11" t="str">
        <f aca="false">IF(B74="","",IFERROR(INDEX(Program!$H$2:$H$75,MATCH(B74,Program!$D$2:$D$75,0)),""))</f>
        <v/>
      </c>
      <c r="I74" s="11" t="str">
        <f aca="false">IF(B74="","",IFERROR(INDEX(Program!$I$2:$I$75,MATCH(B74,Program!$D$2:$D$75,0)),""))</f>
        <v/>
      </c>
      <c r="J74" s="11" t="str">
        <f aca="false">IF(COUNT(D74:G74)=0,"",COUNT(D74:G74))</f>
        <v/>
      </c>
      <c r="K74" s="12" t="str">
        <f aca="false">IF(OR(J74="",I74=""),"",IF(MIN(D74:G74)&gt;=I74,"Add load (smallest step)",IF(MAX(D74:G74)&lt;H74,"Below range: if again, drop 5–10%","Same load, add reps")))</f>
        <v/>
      </c>
      <c r="L74" s="20"/>
      <c r="M74" s="11" t="str">
        <f aca="false">IF(OR(L74="",C74="",H74="",C74=0),"",MAX(H74,ROUNDUP(30*((L74/C74)*(1+H74/30)-1),0)))</f>
        <v/>
      </c>
    </row>
    <row r="75" customFormat="false" ht="15" hidden="false" customHeight="false" outlineLevel="0" collapsed="false">
      <c r="A75" s="51"/>
      <c r="B75" s="54"/>
      <c r="C75" s="20"/>
      <c r="D75" s="20"/>
      <c r="E75" s="20"/>
      <c r="F75" s="20"/>
      <c r="G75" s="20"/>
      <c r="H75" s="11" t="str">
        <f aca="false">IF(B75="","",IFERROR(INDEX(Program!$H$2:$H$75,MATCH(B75,Program!$D$2:$D$75,0)),""))</f>
        <v/>
      </c>
      <c r="I75" s="11" t="str">
        <f aca="false">IF(B75="","",IFERROR(INDEX(Program!$I$2:$I$75,MATCH(B75,Program!$D$2:$D$75,0)),""))</f>
        <v/>
      </c>
      <c r="J75" s="11" t="str">
        <f aca="false">IF(COUNT(D75:G75)=0,"",COUNT(D75:G75))</f>
        <v/>
      </c>
      <c r="K75" s="12" t="str">
        <f aca="false">IF(OR(J75="",I75=""),"",IF(MIN(D75:G75)&gt;=I75,"Add load (smallest step)",IF(MAX(D75:G75)&lt;H75,"Below range: if again, drop 5–10%","Same load, add reps")))</f>
        <v/>
      </c>
      <c r="L75" s="20"/>
      <c r="M75" s="11" t="str">
        <f aca="false">IF(OR(L75="",C75="",H75="",C75=0),"",MAX(H75,ROUNDUP(30*((L75/C75)*(1+H75/30)-1),0)))</f>
        <v/>
      </c>
    </row>
    <row r="76" customFormat="false" ht="15" hidden="false" customHeight="false" outlineLevel="0" collapsed="false">
      <c r="A76" s="51"/>
      <c r="B76" s="54"/>
      <c r="C76" s="20"/>
      <c r="D76" s="20"/>
      <c r="E76" s="20"/>
      <c r="F76" s="20"/>
      <c r="G76" s="20"/>
      <c r="H76" s="11" t="str">
        <f aca="false">IF(B76="","",IFERROR(INDEX(Program!$H$2:$H$75,MATCH(B76,Program!$D$2:$D$75,0)),""))</f>
        <v/>
      </c>
      <c r="I76" s="11" t="str">
        <f aca="false">IF(B76="","",IFERROR(INDEX(Program!$I$2:$I$75,MATCH(B76,Program!$D$2:$D$75,0)),""))</f>
        <v/>
      </c>
      <c r="J76" s="11" t="str">
        <f aca="false">IF(COUNT(D76:G76)=0,"",COUNT(D76:G76))</f>
        <v/>
      </c>
      <c r="K76" s="12" t="str">
        <f aca="false">IF(OR(J76="",I76=""),"",IF(MIN(D76:G76)&gt;=I76,"Add load (smallest step)",IF(MAX(D76:G76)&lt;H76,"Below range: if again, drop 5–10%","Same load, add reps")))</f>
        <v/>
      </c>
      <c r="L76" s="20"/>
      <c r="M76" s="11" t="str">
        <f aca="false">IF(OR(L76="",C76="",H76="",C76=0),"",MAX(H76,ROUNDUP(30*((L76/C76)*(1+H76/30)-1),0)))</f>
        <v/>
      </c>
    </row>
    <row r="77" customFormat="false" ht="15" hidden="false" customHeight="false" outlineLevel="0" collapsed="false">
      <c r="A77" s="51"/>
      <c r="B77" s="54"/>
      <c r="C77" s="20"/>
      <c r="D77" s="20"/>
      <c r="E77" s="20"/>
      <c r="F77" s="20"/>
      <c r="G77" s="20"/>
      <c r="H77" s="11" t="str">
        <f aca="false">IF(B77="","",IFERROR(INDEX(Program!$H$2:$H$75,MATCH(B77,Program!$D$2:$D$75,0)),""))</f>
        <v/>
      </c>
      <c r="I77" s="11" t="str">
        <f aca="false">IF(B77="","",IFERROR(INDEX(Program!$I$2:$I$75,MATCH(B77,Program!$D$2:$D$75,0)),""))</f>
        <v/>
      </c>
      <c r="J77" s="11" t="str">
        <f aca="false">IF(COUNT(D77:G77)=0,"",COUNT(D77:G77))</f>
        <v/>
      </c>
      <c r="K77" s="12" t="str">
        <f aca="false">IF(OR(J77="",I77=""),"",IF(MIN(D77:G77)&gt;=I77,"Add load (smallest step)",IF(MAX(D77:G77)&lt;H77,"Below range: if again, drop 5–10%","Same load, add reps")))</f>
        <v/>
      </c>
      <c r="L77" s="20"/>
      <c r="M77" s="11" t="str">
        <f aca="false">IF(OR(L77="",C77="",H77="",C77=0),"",MAX(H77,ROUNDUP(30*((L77/C77)*(1+H77/30)-1),0)))</f>
        <v/>
      </c>
    </row>
    <row r="78" customFormat="false" ht="15" hidden="false" customHeight="false" outlineLevel="0" collapsed="false">
      <c r="A78" s="51"/>
      <c r="B78" s="54"/>
      <c r="C78" s="20"/>
      <c r="D78" s="20"/>
      <c r="E78" s="20"/>
      <c r="F78" s="20"/>
      <c r="G78" s="20"/>
      <c r="H78" s="11" t="str">
        <f aca="false">IF(B78="","",IFERROR(INDEX(Program!$H$2:$H$75,MATCH(B78,Program!$D$2:$D$75,0)),""))</f>
        <v/>
      </c>
      <c r="I78" s="11" t="str">
        <f aca="false">IF(B78="","",IFERROR(INDEX(Program!$I$2:$I$75,MATCH(B78,Program!$D$2:$D$75,0)),""))</f>
        <v/>
      </c>
      <c r="J78" s="11" t="str">
        <f aca="false">IF(COUNT(D78:G78)=0,"",COUNT(D78:G78))</f>
        <v/>
      </c>
      <c r="K78" s="12" t="str">
        <f aca="false">IF(OR(J78="",I78=""),"",IF(MIN(D78:G78)&gt;=I78,"Add load (smallest step)",IF(MAX(D78:G78)&lt;H78,"Below range: if again, drop 5–10%","Same load, add reps")))</f>
        <v/>
      </c>
      <c r="L78" s="20"/>
      <c r="M78" s="11" t="str">
        <f aca="false">IF(OR(L78="",C78="",H78="",C78=0),"",MAX(H78,ROUNDUP(30*((L78/C78)*(1+H78/30)-1),0)))</f>
        <v/>
      </c>
    </row>
    <row r="79" customFormat="false" ht="15" hidden="false" customHeight="false" outlineLevel="0" collapsed="false">
      <c r="A79" s="51"/>
      <c r="B79" s="54"/>
      <c r="C79" s="20"/>
      <c r="D79" s="20"/>
      <c r="E79" s="20"/>
      <c r="F79" s="20"/>
      <c r="G79" s="20"/>
      <c r="H79" s="11" t="str">
        <f aca="false">IF(B79="","",IFERROR(INDEX(Program!$H$2:$H$75,MATCH(B79,Program!$D$2:$D$75,0)),""))</f>
        <v/>
      </c>
      <c r="I79" s="11" t="str">
        <f aca="false">IF(B79="","",IFERROR(INDEX(Program!$I$2:$I$75,MATCH(B79,Program!$D$2:$D$75,0)),""))</f>
        <v/>
      </c>
      <c r="J79" s="11" t="str">
        <f aca="false">IF(COUNT(D79:G79)=0,"",COUNT(D79:G79))</f>
        <v/>
      </c>
      <c r="K79" s="12" t="str">
        <f aca="false">IF(OR(J79="",I79=""),"",IF(MIN(D79:G79)&gt;=I79,"Add load (smallest step)",IF(MAX(D79:G79)&lt;H79,"Below range: if again, drop 5–10%","Same load, add reps")))</f>
        <v/>
      </c>
      <c r="L79" s="20"/>
      <c r="M79" s="11" t="str">
        <f aca="false">IF(OR(L79="",C79="",H79="",C79=0),"",MAX(H79,ROUNDUP(30*((L79/C79)*(1+H79/30)-1),0)))</f>
        <v/>
      </c>
    </row>
    <row r="80" customFormat="false" ht="15" hidden="false" customHeight="false" outlineLevel="0" collapsed="false">
      <c r="A80" s="51"/>
      <c r="B80" s="54"/>
      <c r="C80" s="20"/>
      <c r="D80" s="20"/>
      <c r="E80" s="20"/>
      <c r="F80" s="20"/>
      <c r="G80" s="20"/>
      <c r="H80" s="11" t="str">
        <f aca="false">IF(B80="","",IFERROR(INDEX(Program!$H$2:$H$75,MATCH(B80,Program!$D$2:$D$75,0)),""))</f>
        <v/>
      </c>
      <c r="I80" s="11" t="str">
        <f aca="false">IF(B80="","",IFERROR(INDEX(Program!$I$2:$I$75,MATCH(B80,Program!$D$2:$D$75,0)),""))</f>
        <v/>
      </c>
      <c r="J80" s="11" t="str">
        <f aca="false">IF(COUNT(D80:G80)=0,"",COUNT(D80:G80))</f>
        <v/>
      </c>
      <c r="K80" s="12" t="str">
        <f aca="false">IF(OR(J80="",I80=""),"",IF(MIN(D80:G80)&gt;=I80,"Add load (smallest step)",IF(MAX(D80:G80)&lt;H80,"Below range: if again, drop 5–10%","Same load, add reps")))</f>
        <v/>
      </c>
      <c r="L80" s="20"/>
      <c r="M80" s="11" t="str">
        <f aca="false">IF(OR(L80="",C80="",H80="",C80=0),"",MAX(H80,ROUNDUP(30*((L80/C80)*(1+H80/30)-1),0)))</f>
        <v/>
      </c>
    </row>
    <row r="81" customFormat="false" ht="15" hidden="false" customHeight="false" outlineLevel="0" collapsed="false">
      <c r="A81" s="51"/>
      <c r="B81" s="54"/>
      <c r="C81" s="20"/>
      <c r="D81" s="20"/>
      <c r="E81" s="20"/>
      <c r="F81" s="20"/>
      <c r="G81" s="20"/>
      <c r="H81" s="11" t="str">
        <f aca="false">IF(B81="","",IFERROR(INDEX(Program!$H$2:$H$75,MATCH(B81,Program!$D$2:$D$75,0)),""))</f>
        <v/>
      </c>
      <c r="I81" s="11" t="str">
        <f aca="false">IF(B81="","",IFERROR(INDEX(Program!$I$2:$I$75,MATCH(B81,Program!$D$2:$D$75,0)),""))</f>
        <v/>
      </c>
      <c r="J81" s="11" t="str">
        <f aca="false">IF(COUNT(D81:G81)=0,"",COUNT(D81:G81))</f>
        <v/>
      </c>
      <c r="K81" s="12" t="str">
        <f aca="false">IF(OR(J81="",I81=""),"",IF(MIN(D81:G81)&gt;=I81,"Add load (smallest step)",IF(MAX(D81:G81)&lt;H81,"Below range: if again, drop 5–10%","Same load, add reps")))</f>
        <v/>
      </c>
      <c r="L81" s="20"/>
      <c r="M81" s="11" t="str">
        <f aca="false">IF(OR(L81="",C81="",H81="",C81=0),"",MAX(H81,ROUNDUP(30*((L81/C81)*(1+H81/30)-1),0)))</f>
        <v/>
      </c>
    </row>
    <row r="82" customFormat="false" ht="15" hidden="false" customHeight="false" outlineLevel="0" collapsed="false">
      <c r="A82" s="51"/>
      <c r="B82" s="54"/>
      <c r="C82" s="20"/>
      <c r="D82" s="20"/>
      <c r="E82" s="20"/>
      <c r="F82" s="20"/>
      <c r="G82" s="20"/>
      <c r="H82" s="11" t="str">
        <f aca="false">IF(B82="","",IFERROR(INDEX(Program!$H$2:$H$75,MATCH(B82,Program!$D$2:$D$75,0)),""))</f>
        <v/>
      </c>
      <c r="I82" s="11" t="str">
        <f aca="false">IF(B82="","",IFERROR(INDEX(Program!$I$2:$I$75,MATCH(B82,Program!$D$2:$D$75,0)),""))</f>
        <v/>
      </c>
      <c r="J82" s="11" t="str">
        <f aca="false">IF(COUNT(D82:G82)=0,"",COUNT(D82:G82))</f>
        <v/>
      </c>
      <c r="K82" s="12" t="str">
        <f aca="false">IF(OR(J82="",I82=""),"",IF(MIN(D82:G82)&gt;=I82,"Add load (smallest step)",IF(MAX(D82:G82)&lt;H82,"Below range: if again, drop 5–10%","Same load, add reps")))</f>
        <v/>
      </c>
      <c r="L82" s="20"/>
      <c r="M82" s="11" t="str">
        <f aca="false">IF(OR(L82="",C82="",H82="",C82=0),"",MAX(H82,ROUNDUP(30*((L82/C82)*(1+H82/30)-1),0)))</f>
        <v/>
      </c>
    </row>
    <row r="83" customFormat="false" ht="15" hidden="false" customHeight="false" outlineLevel="0" collapsed="false">
      <c r="A83" s="51"/>
      <c r="B83" s="54"/>
      <c r="C83" s="20"/>
      <c r="D83" s="20"/>
      <c r="E83" s="20"/>
      <c r="F83" s="20"/>
      <c r="G83" s="20"/>
      <c r="H83" s="11" t="str">
        <f aca="false">IF(B83="","",IFERROR(INDEX(Program!$H$2:$H$75,MATCH(B83,Program!$D$2:$D$75,0)),""))</f>
        <v/>
      </c>
      <c r="I83" s="11" t="str">
        <f aca="false">IF(B83="","",IFERROR(INDEX(Program!$I$2:$I$75,MATCH(B83,Program!$D$2:$D$75,0)),""))</f>
        <v/>
      </c>
      <c r="J83" s="11" t="str">
        <f aca="false">IF(COUNT(D83:G83)=0,"",COUNT(D83:G83))</f>
        <v/>
      </c>
      <c r="K83" s="12" t="str">
        <f aca="false">IF(OR(J83="",I83=""),"",IF(MIN(D83:G83)&gt;=I83,"Add load (smallest step)",IF(MAX(D83:G83)&lt;H83,"Below range: if again, drop 5–10%","Same load, add reps")))</f>
        <v/>
      </c>
      <c r="L83" s="20"/>
      <c r="M83" s="11" t="str">
        <f aca="false">IF(OR(L83="",C83="",H83="",C83=0),"",MAX(H83,ROUNDUP(30*((L83/C83)*(1+H83/30)-1),0)))</f>
        <v/>
      </c>
    </row>
    <row r="84" customFormat="false" ht="15" hidden="false" customHeight="false" outlineLevel="0" collapsed="false">
      <c r="A84" s="51"/>
      <c r="B84" s="54"/>
      <c r="C84" s="20"/>
      <c r="D84" s="20"/>
      <c r="E84" s="20"/>
      <c r="F84" s="20"/>
      <c r="G84" s="20"/>
      <c r="H84" s="11" t="str">
        <f aca="false">IF(B84="","",IFERROR(INDEX(Program!$H$2:$H$75,MATCH(B84,Program!$D$2:$D$75,0)),""))</f>
        <v/>
      </c>
      <c r="I84" s="11" t="str">
        <f aca="false">IF(B84="","",IFERROR(INDEX(Program!$I$2:$I$75,MATCH(B84,Program!$D$2:$D$75,0)),""))</f>
        <v/>
      </c>
      <c r="J84" s="11" t="str">
        <f aca="false">IF(COUNT(D84:G84)=0,"",COUNT(D84:G84))</f>
        <v/>
      </c>
      <c r="K84" s="12" t="str">
        <f aca="false">IF(OR(J84="",I84=""),"",IF(MIN(D84:G84)&gt;=I84,"Add load (smallest step)",IF(MAX(D84:G84)&lt;H84,"Below range: if again, drop 5–10%","Same load, add reps")))</f>
        <v/>
      </c>
      <c r="L84" s="20"/>
      <c r="M84" s="11" t="str">
        <f aca="false">IF(OR(L84="",C84="",H84="",C84=0),"",MAX(H84,ROUNDUP(30*((L84/C84)*(1+H84/30)-1),0)))</f>
        <v/>
      </c>
    </row>
    <row r="85" customFormat="false" ht="15" hidden="false" customHeight="false" outlineLevel="0" collapsed="false">
      <c r="A85" s="51"/>
      <c r="B85" s="54"/>
      <c r="C85" s="20"/>
      <c r="D85" s="20"/>
      <c r="E85" s="20"/>
      <c r="F85" s="20"/>
      <c r="G85" s="20"/>
      <c r="H85" s="11" t="str">
        <f aca="false">IF(B85="","",IFERROR(INDEX(Program!$H$2:$H$75,MATCH(B85,Program!$D$2:$D$75,0)),""))</f>
        <v/>
      </c>
      <c r="I85" s="11" t="str">
        <f aca="false">IF(B85="","",IFERROR(INDEX(Program!$I$2:$I$75,MATCH(B85,Program!$D$2:$D$75,0)),""))</f>
        <v/>
      </c>
      <c r="J85" s="11" t="str">
        <f aca="false">IF(COUNT(D85:G85)=0,"",COUNT(D85:G85))</f>
        <v/>
      </c>
      <c r="K85" s="12" t="str">
        <f aca="false">IF(OR(J85="",I85=""),"",IF(MIN(D85:G85)&gt;=I85,"Add load (smallest step)",IF(MAX(D85:G85)&lt;H85,"Below range: if again, drop 5–10%","Same load, add reps")))</f>
        <v/>
      </c>
      <c r="L85" s="20"/>
      <c r="M85" s="11" t="str">
        <f aca="false">IF(OR(L85="",C85="",H85="",C85=0),"",MAX(H85,ROUNDUP(30*((L85/C85)*(1+H85/30)-1),0)))</f>
        <v/>
      </c>
    </row>
    <row r="86" customFormat="false" ht="15" hidden="false" customHeight="false" outlineLevel="0" collapsed="false">
      <c r="A86" s="51"/>
      <c r="B86" s="54"/>
      <c r="C86" s="20"/>
      <c r="D86" s="20"/>
      <c r="E86" s="20"/>
      <c r="F86" s="20"/>
      <c r="G86" s="20"/>
      <c r="H86" s="11" t="str">
        <f aca="false">IF(B86="","",IFERROR(INDEX(Program!$H$2:$H$75,MATCH(B86,Program!$D$2:$D$75,0)),""))</f>
        <v/>
      </c>
      <c r="I86" s="11" t="str">
        <f aca="false">IF(B86="","",IFERROR(INDEX(Program!$I$2:$I$75,MATCH(B86,Program!$D$2:$D$75,0)),""))</f>
        <v/>
      </c>
      <c r="J86" s="11" t="str">
        <f aca="false">IF(COUNT(D86:G86)=0,"",COUNT(D86:G86))</f>
        <v/>
      </c>
      <c r="K86" s="12" t="str">
        <f aca="false">IF(OR(J86="",I86=""),"",IF(MIN(D86:G86)&gt;=I86,"Add load (smallest step)",IF(MAX(D86:G86)&lt;H86,"Below range: if again, drop 5–10%","Same load, add reps")))</f>
        <v/>
      </c>
      <c r="L86" s="20"/>
      <c r="M86" s="11" t="str">
        <f aca="false">IF(OR(L86="",C86="",H86="",C86=0),"",MAX(H86,ROUNDUP(30*((L86/C86)*(1+H86/30)-1),0)))</f>
        <v/>
      </c>
    </row>
    <row r="87" customFormat="false" ht="15" hidden="false" customHeight="false" outlineLevel="0" collapsed="false">
      <c r="A87" s="51"/>
      <c r="B87" s="54"/>
      <c r="C87" s="20"/>
      <c r="D87" s="20"/>
      <c r="E87" s="20"/>
      <c r="F87" s="20"/>
      <c r="G87" s="20"/>
      <c r="H87" s="11" t="str">
        <f aca="false">IF(B87="","",IFERROR(INDEX(Program!$H$2:$H$75,MATCH(B87,Program!$D$2:$D$75,0)),""))</f>
        <v/>
      </c>
      <c r="I87" s="11" t="str">
        <f aca="false">IF(B87="","",IFERROR(INDEX(Program!$I$2:$I$75,MATCH(B87,Program!$D$2:$D$75,0)),""))</f>
        <v/>
      </c>
      <c r="J87" s="11" t="str">
        <f aca="false">IF(COUNT(D87:G87)=0,"",COUNT(D87:G87))</f>
        <v/>
      </c>
      <c r="K87" s="12" t="str">
        <f aca="false">IF(OR(J87="",I87=""),"",IF(MIN(D87:G87)&gt;=I87,"Add load (smallest step)",IF(MAX(D87:G87)&lt;H87,"Below range: if again, drop 5–10%","Same load, add reps")))</f>
        <v/>
      </c>
      <c r="L87" s="20"/>
      <c r="M87" s="11" t="str">
        <f aca="false">IF(OR(L87="",C87="",H87="",C87=0),"",MAX(H87,ROUNDUP(30*((L87/C87)*(1+H87/30)-1),0)))</f>
        <v/>
      </c>
    </row>
    <row r="88" customFormat="false" ht="15" hidden="false" customHeight="false" outlineLevel="0" collapsed="false">
      <c r="A88" s="51"/>
      <c r="B88" s="54"/>
      <c r="C88" s="20"/>
      <c r="D88" s="20"/>
      <c r="E88" s="20"/>
      <c r="F88" s="20"/>
      <c r="G88" s="20"/>
      <c r="H88" s="11" t="str">
        <f aca="false">IF(B88="","",IFERROR(INDEX(Program!$H$2:$H$75,MATCH(B88,Program!$D$2:$D$75,0)),""))</f>
        <v/>
      </c>
      <c r="I88" s="11" t="str">
        <f aca="false">IF(B88="","",IFERROR(INDEX(Program!$I$2:$I$75,MATCH(B88,Program!$D$2:$D$75,0)),""))</f>
        <v/>
      </c>
      <c r="J88" s="11" t="str">
        <f aca="false">IF(COUNT(D88:G88)=0,"",COUNT(D88:G88))</f>
        <v/>
      </c>
      <c r="K88" s="12" t="str">
        <f aca="false">IF(OR(J88="",I88=""),"",IF(MIN(D88:G88)&gt;=I88,"Add load (smallest step)",IF(MAX(D88:G88)&lt;H88,"Below range: if again, drop 5–10%","Same load, add reps")))</f>
        <v/>
      </c>
      <c r="L88" s="20"/>
      <c r="M88" s="11" t="str">
        <f aca="false">IF(OR(L88="",C88="",H88="",C88=0),"",MAX(H88,ROUNDUP(30*((L88/C88)*(1+H88/30)-1),0)))</f>
        <v/>
      </c>
    </row>
    <row r="89" customFormat="false" ht="15" hidden="false" customHeight="false" outlineLevel="0" collapsed="false">
      <c r="A89" s="51"/>
      <c r="B89" s="54"/>
      <c r="C89" s="20"/>
      <c r="D89" s="20"/>
      <c r="E89" s="20"/>
      <c r="F89" s="20"/>
      <c r="G89" s="20"/>
      <c r="H89" s="11" t="str">
        <f aca="false">IF(B89="","",IFERROR(INDEX(Program!$H$2:$H$75,MATCH(B89,Program!$D$2:$D$75,0)),""))</f>
        <v/>
      </c>
      <c r="I89" s="11" t="str">
        <f aca="false">IF(B89="","",IFERROR(INDEX(Program!$I$2:$I$75,MATCH(B89,Program!$D$2:$D$75,0)),""))</f>
        <v/>
      </c>
      <c r="J89" s="11" t="str">
        <f aca="false">IF(COUNT(D89:G89)=0,"",COUNT(D89:G89))</f>
        <v/>
      </c>
      <c r="K89" s="12" t="str">
        <f aca="false">IF(OR(J89="",I89=""),"",IF(MIN(D89:G89)&gt;=I89,"Add load (smallest step)",IF(MAX(D89:G89)&lt;H89,"Below range: if again, drop 5–10%","Same load, add reps")))</f>
        <v/>
      </c>
      <c r="L89" s="20"/>
      <c r="M89" s="11" t="str">
        <f aca="false">IF(OR(L89="",C89="",H89="",C89=0),"",MAX(H89,ROUNDUP(30*((L89/C89)*(1+H89/30)-1),0)))</f>
        <v/>
      </c>
    </row>
    <row r="90" customFormat="false" ht="15" hidden="false" customHeight="false" outlineLevel="0" collapsed="false">
      <c r="A90" s="51"/>
      <c r="B90" s="54"/>
      <c r="C90" s="20"/>
      <c r="D90" s="20"/>
      <c r="E90" s="20"/>
      <c r="F90" s="20"/>
      <c r="G90" s="20"/>
      <c r="H90" s="11" t="str">
        <f aca="false">IF(B90="","",IFERROR(INDEX(Program!$H$2:$H$75,MATCH(B90,Program!$D$2:$D$75,0)),""))</f>
        <v/>
      </c>
      <c r="I90" s="11" t="str">
        <f aca="false">IF(B90="","",IFERROR(INDEX(Program!$I$2:$I$75,MATCH(B90,Program!$D$2:$D$75,0)),""))</f>
        <v/>
      </c>
      <c r="J90" s="11" t="str">
        <f aca="false">IF(COUNT(D90:G90)=0,"",COUNT(D90:G90))</f>
        <v/>
      </c>
      <c r="K90" s="12" t="str">
        <f aca="false">IF(OR(J90="",I90=""),"",IF(MIN(D90:G90)&gt;=I90,"Add load (smallest step)",IF(MAX(D90:G90)&lt;H90,"Below range: if again, drop 5–10%","Same load, add reps")))</f>
        <v/>
      </c>
      <c r="L90" s="20"/>
      <c r="M90" s="11" t="str">
        <f aca="false">IF(OR(L90="",C90="",H90="",C90=0),"",MAX(H90,ROUNDUP(30*((L90/C90)*(1+H90/30)-1),0)))</f>
        <v/>
      </c>
    </row>
    <row r="91" customFormat="false" ht="15" hidden="false" customHeight="false" outlineLevel="0" collapsed="false">
      <c r="A91" s="51"/>
      <c r="B91" s="54"/>
      <c r="C91" s="20"/>
      <c r="D91" s="20"/>
      <c r="E91" s="20"/>
      <c r="F91" s="20"/>
      <c r="G91" s="20"/>
      <c r="H91" s="11" t="str">
        <f aca="false">IF(B91="","",IFERROR(INDEX(Program!$H$2:$H$75,MATCH(B91,Program!$D$2:$D$75,0)),""))</f>
        <v/>
      </c>
      <c r="I91" s="11" t="str">
        <f aca="false">IF(B91="","",IFERROR(INDEX(Program!$I$2:$I$75,MATCH(B91,Program!$D$2:$D$75,0)),""))</f>
        <v/>
      </c>
      <c r="J91" s="11" t="str">
        <f aca="false">IF(COUNT(D91:G91)=0,"",COUNT(D91:G91))</f>
        <v/>
      </c>
      <c r="K91" s="12" t="str">
        <f aca="false">IF(OR(J91="",I91=""),"",IF(MIN(D91:G91)&gt;=I91,"Add load (smallest step)",IF(MAX(D91:G91)&lt;H91,"Below range: if again, drop 5–10%","Same load, add reps")))</f>
        <v/>
      </c>
      <c r="L91" s="20"/>
      <c r="M91" s="11" t="str">
        <f aca="false">IF(OR(L91="",C91="",H91="",C91=0),"",MAX(H91,ROUNDUP(30*((L91/C91)*(1+H91/30)-1),0)))</f>
        <v/>
      </c>
    </row>
    <row r="92" customFormat="false" ht="15" hidden="false" customHeight="false" outlineLevel="0" collapsed="false">
      <c r="A92" s="51"/>
      <c r="B92" s="54"/>
      <c r="C92" s="20"/>
      <c r="D92" s="20"/>
      <c r="E92" s="20"/>
      <c r="F92" s="20"/>
      <c r="G92" s="20"/>
      <c r="H92" s="11" t="str">
        <f aca="false">IF(B92="","",IFERROR(INDEX(Program!$H$2:$H$75,MATCH(B92,Program!$D$2:$D$75,0)),""))</f>
        <v/>
      </c>
      <c r="I92" s="11" t="str">
        <f aca="false">IF(B92="","",IFERROR(INDEX(Program!$I$2:$I$75,MATCH(B92,Program!$D$2:$D$75,0)),""))</f>
        <v/>
      </c>
      <c r="J92" s="11" t="str">
        <f aca="false">IF(COUNT(D92:G92)=0,"",COUNT(D92:G92))</f>
        <v/>
      </c>
      <c r="K92" s="12" t="str">
        <f aca="false">IF(OR(J92="",I92=""),"",IF(MIN(D92:G92)&gt;=I92,"Add load (smallest step)",IF(MAX(D92:G92)&lt;H92,"Below range: if again, drop 5–10%","Same load, add reps")))</f>
        <v/>
      </c>
      <c r="L92" s="20"/>
      <c r="M92" s="11" t="str">
        <f aca="false">IF(OR(L92="",C92="",H92="",C92=0),"",MAX(H92,ROUNDUP(30*((L92/C92)*(1+H92/30)-1),0)))</f>
        <v/>
      </c>
    </row>
    <row r="93" customFormat="false" ht="15" hidden="false" customHeight="false" outlineLevel="0" collapsed="false">
      <c r="A93" s="51"/>
      <c r="B93" s="54"/>
      <c r="C93" s="20"/>
      <c r="D93" s="20"/>
      <c r="E93" s="20"/>
      <c r="F93" s="20"/>
      <c r="G93" s="20"/>
      <c r="H93" s="11" t="str">
        <f aca="false">IF(B93="","",IFERROR(INDEX(Program!$H$2:$H$75,MATCH(B93,Program!$D$2:$D$75,0)),""))</f>
        <v/>
      </c>
      <c r="I93" s="11" t="str">
        <f aca="false">IF(B93="","",IFERROR(INDEX(Program!$I$2:$I$75,MATCH(B93,Program!$D$2:$D$75,0)),""))</f>
        <v/>
      </c>
      <c r="J93" s="11" t="str">
        <f aca="false">IF(COUNT(D93:G93)=0,"",COUNT(D93:G93))</f>
        <v/>
      </c>
      <c r="K93" s="12" t="str">
        <f aca="false">IF(OR(J93="",I93=""),"",IF(MIN(D93:G93)&gt;=I93,"Add load (smallest step)",IF(MAX(D93:G93)&lt;H93,"Below range: if again, drop 5–10%","Same load, add reps")))</f>
        <v/>
      </c>
      <c r="L93" s="20"/>
      <c r="M93" s="11" t="str">
        <f aca="false">IF(OR(L93="",C93="",H93="",C93=0),"",MAX(H93,ROUNDUP(30*((L93/C93)*(1+H93/30)-1),0)))</f>
        <v/>
      </c>
    </row>
    <row r="94" customFormat="false" ht="15" hidden="false" customHeight="false" outlineLevel="0" collapsed="false">
      <c r="A94" s="51"/>
      <c r="B94" s="54"/>
      <c r="C94" s="20"/>
      <c r="D94" s="20"/>
      <c r="E94" s="20"/>
      <c r="F94" s="20"/>
      <c r="G94" s="20"/>
      <c r="H94" s="11" t="str">
        <f aca="false">IF(B94="","",IFERROR(INDEX(Program!$H$2:$H$75,MATCH(B94,Program!$D$2:$D$75,0)),""))</f>
        <v/>
      </c>
      <c r="I94" s="11" t="str">
        <f aca="false">IF(B94="","",IFERROR(INDEX(Program!$I$2:$I$75,MATCH(B94,Program!$D$2:$D$75,0)),""))</f>
        <v/>
      </c>
      <c r="J94" s="11" t="str">
        <f aca="false">IF(COUNT(D94:G94)=0,"",COUNT(D94:G94))</f>
        <v/>
      </c>
      <c r="K94" s="12" t="str">
        <f aca="false">IF(OR(J94="",I94=""),"",IF(MIN(D94:G94)&gt;=I94,"Add load (smallest step)",IF(MAX(D94:G94)&lt;H94,"Below range: if again, drop 5–10%","Same load, add reps")))</f>
        <v/>
      </c>
      <c r="L94" s="20"/>
      <c r="M94" s="11" t="str">
        <f aca="false">IF(OR(L94="",C94="",H94="",C94=0),"",MAX(H94,ROUNDUP(30*((L94/C94)*(1+H94/30)-1),0)))</f>
        <v/>
      </c>
    </row>
    <row r="95" customFormat="false" ht="15" hidden="false" customHeight="false" outlineLevel="0" collapsed="false">
      <c r="A95" s="51"/>
      <c r="B95" s="54"/>
      <c r="C95" s="20"/>
      <c r="D95" s="20"/>
      <c r="E95" s="20"/>
      <c r="F95" s="20"/>
      <c r="G95" s="20"/>
      <c r="H95" s="11" t="str">
        <f aca="false">IF(B95="","",IFERROR(INDEX(Program!$H$2:$H$75,MATCH(B95,Program!$D$2:$D$75,0)),""))</f>
        <v/>
      </c>
      <c r="I95" s="11" t="str">
        <f aca="false">IF(B95="","",IFERROR(INDEX(Program!$I$2:$I$75,MATCH(B95,Program!$D$2:$D$75,0)),""))</f>
        <v/>
      </c>
      <c r="J95" s="11" t="str">
        <f aca="false">IF(COUNT(D95:G95)=0,"",COUNT(D95:G95))</f>
        <v/>
      </c>
      <c r="K95" s="12" t="str">
        <f aca="false">IF(OR(J95="",I95=""),"",IF(MIN(D95:G95)&gt;=I95,"Add load (smallest step)",IF(MAX(D95:G95)&lt;H95,"Below range: if again, drop 5–10%","Same load, add reps")))</f>
        <v/>
      </c>
      <c r="L95" s="20"/>
      <c r="M95" s="11" t="str">
        <f aca="false">IF(OR(L95="",C95="",H95="",C95=0),"",MAX(H95,ROUNDUP(30*((L95/C95)*(1+H95/30)-1),0)))</f>
        <v/>
      </c>
    </row>
    <row r="96" customFormat="false" ht="15" hidden="false" customHeight="false" outlineLevel="0" collapsed="false">
      <c r="A96" s="51"/>
      <c r="B96" s="54"/>
      <c r="C96" s="20"/>
      <c r="D96" s="20"/>
      <c r="E96" s="20"/>
      <c r="F96" s="20"/>
      <c r="G96" s="20"/>
      <c r="H96" s="11" t="str">
        <f aca="false">IF(B96="","",IFERROR(INDEX(Program!$H$2:$H$75,MATCH(B96,Program!$D$2:$D$75,0)),""))</f>
        <v/>
      </c>
      <c r="I96" s="11" t="str">
        <f aca="false">IF(B96="","",IFERROR(INDEX(Program!$I$2:$I$75,MATCH(B96,Program!$D$2:$D$75,0)),""))</f>
        <v/>
      </c>
      <c r="J96" s="11" t="str">
        <f aca="false">IF(COUNT(D96:G96)=0,"",COUNT(D96:G96))</f>
        <v/>
      </c>
      <c r="K96" s="12" t="str">
        <f aca="false">IF(OR(J96="",I96=""),"",IF(MIN(D96:G96)&gt;=I96,"Add load (smallest step)",IF(MAX(D96:G96)&lt;H96,"Below range: if again, drop 5–10%","Same load, add reps")))</f>
        <v/>
      </c>
      <c r="L96" s="20"/>
      <c r="M96" s="11" t="str">
        <f aca="false">IF(OR(L96="",C96="",H96="",C96=0),"",MAX(H96,ROUNDUP(30*((L96/C96)*(1+H96/30)-1),0)))</f>
        <v/>
      </c>
    </row>
    <row r="97" customFormat="false" ht="15" hidden="false" customHeight="false" outlineLevel="0" collapsed="false">
      <c r="A97" s="51"/>
      <c r="B97" s="54"/>
      <c r="C97" s="20"/>
      <c r="D97" s="20"/>
      <c r="E97" s="20"/>
      <c r="F97" s="20"/>
      <c r="G97" s="20"/>
      <c r="H97" s="11" t="str">
        <f aca="false">IF(B97="","",IFERROR(INDEX(Program!$H$2:$H$75,MATCH(B97,Program!$D$2:$D$75,0)),""))</f>
        <v/>
      </c>
      <c r="I97" s="11" t="str">
        <f aca="false">IF(B97="","",IFERROR(INDEX(Program!$I$2:$I$75,MATCH(B97,Program!$D$2:$D$75,0)),""))</f>
        <v/>
      </c>
      <c r="J97" s="11" t="str">
        <f aca="false">IF(COUNT(D97:G97)=0,"",COUNT(D97:G97))</f>
        <v/>
      </c>
      <c r="K97" s="12" t="str">
        <f aca="false">IF(OR(J97="",I97=""),"",IF(MIN(D97:G97)&gt;=I97,"Add load (smallest step)",IF(MAX(D97:G97)&lt;H97,"Below range: if again, drop 5–10%","Same load, add reps")))</f>
        <v/>
      </c>
      <c r="L97" s="20"/>
      <c r="M97" s="11" t="str">
        <f aca="false">IF(OR(L97="",C97="",H97="",C97=0),"",MAX(H97,ROUNDUP(30*((L97/C97)*(1+H97/30)-1),0)))</f>
        <v/>
      </c>
    </row>
    <row r="98" customFormat="false" ht="15" hidden="false" customHeight="false" outlineLevel="0" collapsed="false">
      <c r="A98" s="51"/>
      <c r="B98" s="54"/>
      <c r="C98" s="20"/>
      <c r="D98" s="20"/>
      <c r="E98" s="20"/>
      <c r="F98" s="20"/>
      <c r="G98" s="20"/>
      <c r="H98" s="11" t="str">
        <f aca="false">IF(B98="","",IFERROR(INDEX(Program!$H$2:$H$75,MATCH(B98,Program!$D$2:$D$75,0)),""))</f>
        <v/>
      </c>
      <c r="I98" s="11" t="str">
        <f aca="false">IF(B98="","",IFERROR(INDEX(Program!$I$2:$I$75,MATCH(B98,Program!$D$2:$D$75,0)),""))</f>
        <v/>
      </c>
      <c r="J98" s="11" t="str">
        <f aca="false">IF(COUNT(D98:G98)=0,"",COUNT(D98:G98))</f>
        <v/>
      </c>
      <c r="K98" s="12" t="str">
        <f aca="false">IF(OR(J98="",I98=""),"",IF(MIN(D98:G98)&gt;=I98,"Add load (smallest step)",IF(MAX(D98:G98)&lt;H98,"Below range: if again, drop 5–10%","Same load, add reps")))</f>
        <v/>
      </c>
      <c r="L98" s="20"/>
      <c r="M98" s="11" t="str">
        <f aca="false">IF(OR(L98="",C98="",H98="",C98=0),"",MAX(H98,ROUNDUP(30*((L98/C98)*(1+H98/30)-1),0)))</f>
        <v/>
      </c>
    </row>
    <row r="99" customFormat="false" ht="15" hidden="false" customHeight="false" outlineLevel="0" collapsed="false">
      <c r="A99" s="51"/>
      <c r="B99" s="54"/>
      <c r="C99" s="20"/>
      <c r="D99" s="20"/>
      <c r="E99" s="20"/>
      <c r="F99" s="20"/>
      <c r="G99" s="20"/>
      <c r="H99" s="11" t="str">
        <f aca="false">IF(B99="","",IFERROR(INDEX(Program!$H$2:$H$75,MATCH(B99,Program!$D$2:$D$75,0)),""))</f>
        <v/>
      </c>
      <c r="I99" s="11" t="str">
        <f aca="false">IF(B99="","",IFERROR(INDEX(Program!$I$2:$I$75,MATCH(B99,Program!$D$2:$D$75,0)),""))</f>
        <v/>
      </c>
      <c r="J99" s="11" t="str">
        <f aca="false">IF(COUNT(D99:G99)=0,"",COUNT(D99:G99))</f>
        <v/>
      </c>
      <c r="K99" s="12" t="str">
        <f aca="false">IF(OR(J99="",I99=""),"",IF(MIN(D99:G99)&gt;=I99,"Add load (smallest step)",IF(MAX(D99:G99)&lt;H99,"Below range: if again, drop 5–10%","Same load, add reps")))</f>
        <v/>
      </c>
      <c r="L99" s="20"/>
      <c r="M99" s="11" t="str">
        <f aca="false">IF(OR(L99="",C99="",H99="",C99=0),"",MAX(H99,ROUNDUP(30*((L99/C99)*(1+H99/30)-1),0)))</f>
        <v/>
      </c>
    </row>
    <row r="100" customFormat="false" ht="15" hidden="false" customHeight="false" outlineLevel="0" collapsed="false">
      <c r="A100" s="51"/>
      <c r="B100" s="54"/>
      <c r="C100" s="20"/>
      <c r="D100" s="20"/>
      <c r="E100" s="20"/>
      <c r="F100" s="20"/>
      <c r="G100" s="20"/>
      <c r="H100" s="11" t="str">
        <f aca="false">IF(B100="","",IFERROR(INDEX(Program!$H$2:$H$75,MATCH(B100,Program!$D$2:$D$75,0)),""))</f>
        <v/>
      </c>
      <c r="I100" s="11" t="str">
        <f aca="false">IF(B100="","",IFERROR(INDEX(Program!$I$2:$I$75,MATCH(B100,Program!$D$2:$D$75,0)),""))</f>
        <v/>
      </c>
      <c r="J100" s="11" t="str">
        <f aca="false">IF(COUNT(D100:G100)=0,"",COUNT(D100:G100))</f>
        <v/>
      </c>
      <c r="K100" s="12" t="str">
        <f aca="false">IF(OR(J100="",I100=""),"",IF(MIN(D100:G100)&gt;=I100,"Add load (smallest step)",IF(MAX(D100:G100)&lt;H100,"Below range: if again, drop 5–10%","Same load, add reps")))</f>
        <v/>
      </c>
      <c r="L100" s="20"/>
      <c r="M100" s="11" t="str">
        <f aca="false">IF(OR(L100="",C100="",H100="",C100=0),"",MAX(H100,ROUNDUP(30*((L100/C100)*(1+H100/30)-1),0)))</f>
        <v/>
      </c>
    </row>
    <row r="101" customFormat="false" ht="15" hidden="false" customHeight="false" outlineLevel="0" collapsed="false">
      <c r="A101" s="51"/>
      <c r="B101" s="54"/>
      <c r="C101" s="20"/>
      <c r="D101" s="20"/>
      <c r="E101" s="20"/>
      <c r="F101" s="20"/>
      <c r="G101" s="20"/>
      <c r="H101" s="11" t="str">
        <f aca="false">IF(B101="","",IFERROR(INDEX(Program!$H$2:$H$75,MATCH(B101,Program!$D$2:$D$75,0)),""))</f>
        <v/>
      </c>
      <c r="I101" s="11" t="str">
        <f aca="false">IF(B101="","",IFERROR(INDEX(Program!$I$2:$I$75,MATCH(B101,Program!$D$2:$D$75,0)),""))</f>
        <v/>
      </c>
      <c r="J101" s="11" t="str">
        <f aca="false">IF(COUNT(D101:G101)=0,"",COUNT(D101:G101))</f>
        <v/>
      </c>
      <c r="K101" s="12" t="str">
        <f aca="false">IF(OR(J101="",I101=""),"",IF(MIN(D101:G101)&gt;=I101,"Add load (smallest step)",IF(MAX(D101:G101)&lt;H101,"Below range: if again, drop 5–10%","Same load, add reps")))</f>
        <v/>
      </c>
      <c r="L101" s="20"/>
      <c r="M101" s="11" t="str">
        <f aca="false">IF(OR(L101="",C101="",H101="",C101=0),"",MAX(H101,ROUNDUP(30*((L101/C101)*(1+H101/30)-1),0)))</f>
        <v/>
      </c>
    </row>
    <row r="102" customFormat="false" ht="15" hidden="false" customHeight="false" outlineLevel="0" collapsed="false">
      <c r="A102" s="51"/>
      <c r="B102" s="54"/>
      <c r="C102" s="20"/>
      <c r="D102" s="20"/>
      <c r="E102" s="20"/>
      <c r="F102" s="20"/>
      <c r="G102" s="20"/>
      <c r="H102" s="11" t="str">
        <f aca="false">IF(B102="","",IFERROR(INDEX(Program!$H$2:$H$75,MATCH(B102,Program!$D$2:$D$75,0)),""))</f>
        <v/>
      </c>
      <c r="I102" s="11" t="str">
        <f aca="false">IF(B102="","",IFERROR(INDEX(Program!$I$2:$I$75,MATCH(B102,Program!$D$2:$D$75,0)),""))</f>
        <v/>
      </c>
      <c r="J102" s="11" t="str">
        <f aca="false">IF(COUNT(D102:G102)=0,"",COUNT(D102:G102))</f>
        <v/>
      </c>
      <c r="K102" s="12" t="str">
        <f aca="false">IF(OR(J102="",I102=""),"",IF(MIN(D102:G102)&gt;=I102,"Add load (smallest step)",IF(MAX(D102:G102)&lt;H102,"Below range: if again, drop 5–10%","Same load, add reps")))</f>
        <v/>
      </c>
      <c r="L102" s="20"/>
      <c r="M102" s="11" t="str">
        <f aca="false">IF(OR(L102="",C102="",H102="",C102=0),"",MAX(H102,ROUNDUP(30*((L102/C102)*(1+H102/30)-1),0)))</f>
        <v/>
      </c>
    </row>
    <row r="103" customFormat="false" ht="15" hidden="false" customHeight="false" outlineLevel="0" collapsed="false">
      <c r="A103" s="51"/>
      <c r="B103" s="54"/>
      <c r="C103" s="20"/>
      <c r="D103" s="20"/>
      <c r="E103" s="20"/>
      <c r="F103" s="20"/>
      <c r="G103" s="20"/>
      <c r="H103" s="11" t="str">
        <f aca="false">IF(B103="","",IFERROR(INDEX(Program!$H$2:$H$75,MATCH(B103,Program!$D$2:$D$75,0)),""))</f>
        <v/>
      </c>
      <c r="I103" s="11" t="str">
        <f aca="false">IF(B103="","",IFERROR(INDEX(Program!$I$2:$I$75,MATCH(B103,Program!$D$2:$D$75,0)),""))</f>
        <v/>
      </c>
      <c r="J103" s="11" t="str">
        <f aca="false">IF(COUNT(D103:G103)=0,"",COUNT(D103:G103))</f>
        <v/>
      </c>
      <c r="K103" s="12" t="str">
        <f aca="false">IF(OR(J103="",I103=""),"",IF(MIN(D103:G103)&gt;=I103,"Add load (smallest step)",IF(MAX(D103:G103)&lt;H103,"Below range: if again, drop 5–10%","Same load, add reps")))</f>
        <v/>
      </c>
      <c r="L103" s="20"/>
      <c r="M103" s="11" t="str">
        <f aca="false">IF(OR(L103="",C103="",H103="",C103=0),"",MAX(H103,ROUNDUP(30*((L103/C103)*(1+H103/30)-1),0)))</f>
        <v/>
      </c>
    </row>
    <row r="104" customFormat="false" ht="15" hidden="false" customHeight="false" outlineLevel="0" collapsed="false">
      <c r="A104" s="51"/>
      <c r="B104" s="54"/>
      <c r="C104" s="20"/>
      <c r="D104" s="20"/>
      <c r="E104" s="20"/>
      <c r="F104" s="20"/>
      <c r="G104" s="20"/>
      <c r="H104" s="11" t="str">
        <f aca="false">IF(B104="","",IFERROR(INDEX(Program!$H$2:$H$75,MATCH(B104,Program!$D$2:$D$75,0)),""))</f>
        <v/>
      </c>
      <c r="I104" s="11" t="str">
        <f aca="false">IF(B104="","",IFERROR(INDEX(Program!$I$2:$I$75,MATCH(B104,Program!$D$2:$D$75,0)),""))</f>
        <v/>
      </c>
      <c r="J104" s="11" t="str">
        <f aca="false">IF(COUNT(D104:G104)=0,"",COUNT(D104:G104))</f>
        <v/>
      </c>
      <c r="K104" s="12" t="str">
        <f aca="false">IF(OR(J104="",I104=""),"",IF(MIN(D104:G104)&gt;=I104,"Add load (smallest step)",IF(MAX(D104:G104)&lt;H104,"Below range: if again, drop 5–10%","Same load, add reps")))</f>
        <v/>
      </c>
      <c r="L104" s="20"/>
      <c r="M104" s="11" t="str">
        <f aca="false">IF(OR(L104="",C104="",H104="",C104=0),"",MAX(H104,ROUNDUP(30*((L104/C104)*(1+H104/30)-1),0)))</f>
        <v/>
      </c>
    </row>
    <row r="105" customFormat="false" ht="15" hidden="false" customHeight="false" outlineLevel="0" collapsed="false">
      <c r="A105" s="51"/>
      <c r="B105" s="54"/>
      <c r="C105" s="20"/>
      <c r="D105" s="20"/>
      <c r="E105" s="20"/>
      <c r="F105" s="20"/>
      <c r="G105" s="20"/>
      <c r="H105" s="11" t="str">
        <f aca="false">IF(B105="","",IFERROR(INDEX(Program!$H$2:$H$75,MATCH(B105,Program!$D$2:$D$75,0)),""))</f>
        <v/>
      </c>
      <c r="I105" s="11" t="str">
        <f aca="false">IF(B105="","",IFERROR(INDEX(Program!$I$2:$I$75,MATCH(B105,Program!$D$2:$D$75,0)),""))</f>
        <v/>
      </c>
      <c r="J105" s="11" t="str">
        <f aca="false">IF(COUNT(D105:G105)=0,"",COUNT(D105:G105))</f>
        <v/>
      </c>
      <c r="K105" s="12" t="str">
        <f aca="false">IF(OR(J105="",I105=""),"",IF(MIN(D105:G105)&gt;=I105,"Add load (smallest step)",IF(MAX(D105:G105)&lt;H105,"Below range: if again, drop 5–10%","Same load, add reps")))</f>
        <v/>
      </c>
      <c r="L105" s="20"/>
      <c r="M105" s="11" t="str">
        <f aca="false">IF(OR(L105="",C105="",H105="",C105=0),"",MAX(H105,ROUNDUP(30*((L105/C105)*(1+H105/30)-1),0)))</f>
        <v/>
      </c>
    </row>
    <row r="106" customFormat="false" ht="15" hidden="false" customHeight="false" outlineLevel="0" collapsed="false">
      <c r="A106" s="51"/>
      <c r="B106" s="54"/>
      <c r="C106" s="20"/>
      <c r="D106" s="20"/>
      <c r="E106" s="20"/>
      <c r="F106" s="20"/>
      <c r="G106" s="20"/>
      <c r="H106" s="11" t="str">
        <f aca="false">IF(B106="","",IFERROR(INDEX(Program!$H$2:$H$75,MATCH(B106,Program!$D$2:$D$75,0)),""))</f>
        <v/>
      </c>
      <c r="I106" s="11" t="str">
        <f aca="false">IF(B106="","",IFERROR(INDEX(Program!$I$2:$I$75,MATCH(B106,Program!$D$2:$D$75,0)),""))</f>
        <v/>
      </c>
      <c r="J106" s="11" t="str">
        <f aca="false">IF(COUNT(D106:G106)=0,"",COUNT(D106:G106))</f>
        <v/>
      </c>
      <c r="K106" s="12" t="str">
        <f aca="false">IF(OR(J106="",I106=""),"",IF(MIN(D106:G106)&gt;=I106,"Add load (smallest step)",IF(MAX(D106:G106)&lt;H106,"Below range: if again, drop 5–10%","Same load, add reps")))</f>
        <v/>
      </c>
      <c r="L106" s="20"/>
      <c r="M106" s="11" t="str">
        <f aca="false">IF(OR(L106="",C106="",H106="",C106=0),"",MAX(H106,ROUNDUP(30*((L106/C106)*(1+H106/30)-1),0)))</f>
        <v/>
      </c>
    </row>
    <row r="107" customFormat="false" ht="15" hidden="false" customHeight="false" outlineLevel="0" collapsed="false">
      <c r="A107" s="51"/>
      <c r="B107" s="54"/>
      <c r="C107" s="20"/>
      <c r="D107" s="20"/>
      <c r="E107" s="20"/>
      <c r="F107" s="20"/>
      <c r="G107" s="20"/>
      <c r="H107" s="11" t="str">
        <f aca="false">IF(B107="","",IFERROR(INDEX(Program!$H$2:$H$75,MATCH(B107,Program!$D$2:$D$75,0)),""))</f>
        <v/>
      </c>
      <c r="I107" s="11" t="str">
        <f aca="false">IF(B107="","",IFERROR(INDEX(Program!$I$2:$I$75,MATCH(B107,Program!$D$2:$D$75,0)),""))</f>
        <v/>
      </c>
      <c r="J107" s="11" t="str">
        <f aca="false">IF(COUNT(D107:G107)=0,"",COUNT(D107:G107))</f>
        <v/>
      </c>
      <c r="K107" s="12" t="str">
        <f aca="false">IF(OR(J107="",I107=""),"",IF(MIN(D107:G107)&gt;=I107,"Add load (smallest step)",IF(MAX(D107:G107)&lt;H107,"Below range: if again, drop 5–10%","Same load, add reps")))</f>
        <v/>
      </c>
      <c r="L107" s="20"/>
      <c r="M107" s="11" t="str">
        <f aca="false">IF(OR(L107="",C107="",H107="",C107=0),"",MAX(H107,ROUNDUP(30*((L107/C107)*(1+H107/30)-1),0)))</f>
        <v/>
      </c>
    </row>
    <row r="108" customFormat="false" ht="15" hidden="false" customHeight="false" outlineLevel="0" collapsed="false">
      <c r="A108" s="51"/>
      <c r="B108" s="54"/>
      <c r="C108" s="20"/>
      <c r="D108" s="20"/>
      <c r="E108" s="20"/>
      <c r="F108" s="20"/>
      <c r="G108" s="20"/>
      <c r="H108" s="11" t="str">
        <f aca="false">IF(B108="","",IFERROR(INDEX(Program!$H$2:$H$75,MATCH(B108,Program!$D$2:$D$75,0)),""))</f>
        <v/>
      </c>
      <c r="I108" s="11" t="str">
        <f aca="false">IF(B108="","",IFERROR(INDEX(Program!$I$2:$I$75,MATCH(B108,Program!$D$2:$D$75,0)),""))</f>
        <v/>
      </c>
      <c r="J108" s="11" t="str">
        <f aca="false">IF(COUNT(D108:G108)=0,"",COUNT(D108:G108))</f>
        <v/>
      </c>
      <c r="K108" s="12" t="str">
        <f aca="false">IF(OR(J108="",I108=""),"",IF(MIN(D108:G108)&gt;=I108,"Add load (smallest step)",IF(MAX(D108:G108)&lt;H108,"Below range: if again, drop 5–10%","Same load, add reps")))</f>
        <v/>
      </c>
      <c r="L108" s="20"/>
      <c r="M108" s="11" t="str">
        <f aca="false">IF(OR(L108="",C108="",H108="",C108=0),"",MAX(H108,ROUNDUP(30*((L108/C108)*(1+H108/30)-1),0)))</f>
        <v/>
      </c>
    </row>
    <row r="109" customFormat="false" ht="15" hidden="false" customHeight="false" outlineLevel="0" collapsed="false">
      <c r="A109" s="51"/>
      <c r="B109" s="54"/>
      <c r="C109" s="20"/>
      <c r="D109" s="20"/>
      <c r="E109" s="20"/>
      <c r="F109" s="20"/>
      <c r="G109" s="20"/>
      <c r="H109" s="11" t="str">
        <f aca="false">IF(B109="","",IFERROR(INDEX(Program!$H$2:$H$75,MATCH(B109,Program!$D$2:$D$75,0)),""))</f>
        <v/>
      </c>
      <c r="I109" s="11" t="str">
        <f aca="false">IF(B109="","",IFERROR(INDEX(Program!$I$2:$I$75,MATCH(B109,Program!$D$2:$D$75,0)),""))</f>
        <v/>
      </c>
      <c r="J109" s="11" t="str">
        <f aca="false">IF(COUNT(D109:G109)=0,"",COUNT(D109:G109))</f>
        <v/>
      </c>
      <c r="K109" s="12" t="str">
        <f aca="false">IF(OR(J109="",I109=""),"",IF(MIN(D109:G109)&gt;=I109,"Add load (smallest step)",IF(MAX(D109:G109)&lt;H109,"Below range: if again, drop 5–10%","Same load, add reps")))</f>
        <v/>
      </c>
      <c r="L109" s="20"/>
      <c r="M109" s="11" t="str">
        <f aca="false">IF(OR(L109="",C109="",H109="",C109=0),"",MAX(H109,ROUNDUP(30*((L109/C109)*(1+H109/30)-1),0)))</f>
        <v/>
      </c>
    </row>
    <row r="110" customFormat="false" ht="15" hidden="false" customHeight="false" outlineLevel="0" collapsed="false">
      <c r="A110" s="51"/>
      <c r="B110" s="54"/>
      <c r="C110" s="20"/>
      <c r="D110" s="20"/>
      <c r="E110" s="20"/>
      <c r="F110" s="20"/>
      <c r="G110" s="20"/>
      <c r="H110" s="11" t="str">
        <f aca="false">IF(B110="","",IFERROR(INDEX(Program!$H$2:$H$75,MATCH(B110,Program!$D$2:$D$75,0)),""))</f>
        <v/>
      </c>
      <c r="I110" s="11" t="str">
        <f aca="false">IF(B110="","",IFERROR(INDEX(Program!$I$2:$I$75,MATCH(B110,Program!$D$2:$D$75,0)),""))</f>
        <v/>
      </c>
      <c r="J110" s="11" t="str">
        <f aca="false">IF(COUNT(D110:G110)=0,"",COUNT(D110:G110))</f>
        <v/>
      </c>
      <c r="K110" s="12" t="str">
        <f aca="false">IF(OR(J110="",I110=""),"",IF(MIN(D110:G110)&gt;=I110,"Add load (smallest step)",IF(MAX(D110:G110)&lt;H110,"Below range: if again, drop 5–10%","Same load, add reps")))</f>
        <v/>
      </c>
      <c r="L110" s="20"/>
      <c r="M110" s="11" t="str">
        <f aca="false">IF(OR(L110="",C110="",H110="",C110=0),"",MAX(H110,ROUNDUP(30*((L110/C110)*(1+H110/30)-1),0)))</f>
        <v/>
      </c>
    </row>
    <row r="111" customFormat="false" ht="15" hidden="false" customHeight="false" outlineLevel="0" collapsed="false">
      <c r="A111" s="51"/>
      <c r="B111" s="54"/>
      <c r="C111" s="20"/>
      <c r="D111" s="20"/>
      <c r="E111" s="20"/>
      <c r="F111" s="20"/>
      <c r="G111" s="20"/>
      <c r="H111" s="11" t="str">
        <f aca="false">IF(B111="","",IFERROR(INDEX(Program!$H$2:$H$75,MATCH(B111,Program!$D$2:$D$75,0)),""))</f>
        <v/>
      </c>
      <c r="I111" s="11" t="str">
        <f aca="false">IF(B111="","",IFERROR(INDEX(Program!$I$2:$I$75,MATCH(B111,Program!$D$2:$D$75,0)),""))</f>
        <v/>
      </c>
      <c r="J111" s="11" t="str">
        <f aca="false">IF(COUNT(D111:G111)=0,"",COUNT(D111:G111))</f>
        <v/>
      </c>
      <c r="K111" s="12" t="str">
        <f aca="false">IF(OR(J111="",I111=""),"",IF(MIN(D111:G111)&gt;=I111,"Add load (smallest step)",IF(MAX(D111:G111)&lt;H111,"Below range: if again, drop 5–10%","Same load, add reps")))</f>
        <v/>
      </c>
      <c r="L111" s="20"/>
      <c r="M111" s="11" t="str">
        <f aca="false">IF(OR(L111="",C111="",H111="",C111=0),"",MAX(H111,ROUNDUP(30*((L111/C111)*(1+H111/30)-1),0)))</f>
        <v/>
      </c>
    </row>
    <row r="112" customFormat="false" ht="15" hidden="false" customHeight="false" outlineLevel="0" collapsed="false">
      <c r="A112" s="51"/>
      <c r="B112" s="54"/>
      <c r="C112" s="20"/>
      <c r="D112" s="20"/>
      <c r="E112" s="20"/>
      <c r="F112" s="20"/>
      <c r="G112" s="20"/>
      <c r="H112" s="11" t="str">
        <f aca="false">IF(B112="","",IFERROR(INDEX(Program!$H$2:$H$75,MATCH(B112,Program!$D$2:$D$75,0)),""))</f>
        <v/>
      </c>
      <c r="I112" s="11" t="str">
        <f aca="false">IF(B112="","",IFERROR(INDEX(Program!$I$2:$I$75,MATCH(B112,Program!$D$2:$D$75,0)),""))</f>
        <v/>
      </c>
      <c r="J112" s="11" t="str">
        <f aca="false">IF(COUNT(D112:G112)=0,"",COUNT(D112:G112))</f>
        <v/>
      </c>
      <c r="K112" s="12" t="str">
        <f aca="false">IF(OR(J112="",I112=""),"",IF(MIN(D112:G112)&gt;=I112,"Add load (smallest step)",IF(MAX(D112:G112)&lt;H112,"Below range: if again, drop 5–10%","Same load, add reps")))</f>
        <v/>
      </c>
      <c r="L112" s="20"/>
      <c r="M112" s="11" t="str">
        <f aca="false">IF(OR(L112="",C112="",H112="",C112=0),"",MAX(H112,ROUNDUP(30*((L112/C112)*(1+H112/30)-1),0)))</f>
        <v/>
      </c>
    </row>
    <row r="113" customFormat="false" ht="15" hidden="false" customHeight="false" outlineLevel="0" collapsed="false">
      <c r="A113" s="51"/>
      <c r="B113" s="54"/>
      <c r="C113" s="20"/>
      <c r="D113" s="20"/>
      <c r="E113" s="20"/>
      <c r="F113" s="20"/>
      <c r="G113" s="20"/>
      <c r="H113" s="11" t="str">
        <f aca="false">IF(B113="","",IFERROR(INDEX(Program!$H$2:$H$75,MATCH(B113,Program!$D$2:$D$75,0)),""))</f>
        <v/>
      </c>
      <c r="I113" s="11" t="str">
        <f aca="false">IF(B113="","",IFERROR(INDEX(Program!$I$2:$I$75,MATCH(B113,Program!$D$2:$D$75,0)),""))</f>
        <v/>
      </c>
      <c r="J113" s="11" t="str">
        <f aca="false">IF(COUNT(D113:G113)=0,"",COUNT(D113:G113))</f>
        <v/>
      </c>
      <c r="K113" s="12" t="str">
        <f aca="false">IF(OR(J113="",I113=""),"",IF(MIN(D113:G113)&gt;=I113,"Add load (smallest step)",IF(MAX(D113:G113)&lt;H113,"Below range: if again, drop 5–10%","Same load, add reps")))</f>
        <v/>
      </c>
      <c r="L113" s="20"/>
      <c r="M113" s="11" t="str">
        <f aca="false">IF(OR(L113="",C113="",H113="",C113=0),"",MAX(H113,ROUNDUP(30*((L113/C113)*(1+H113/30)-1),0)))</f>
        <v/>
      </c>
    </row>
    <row r="114" customFormat="false" ht="15" hidden="false" customHeight="false" outlineLevel="0" collapsed="false">
      <c r="A114" s="51"/>
      <c r="B114" s="54"/>
      <c r="C114" s="20"/>
      <c r="D114" s="20"/>
      <c r="E114" s="20"/>
      <c r="F114" s="20"/>
      <c r="G114" s="20"/>
      <c r="H114" s="11" t="str">
        <f aca="false">IF(B114="","",IFERROR(INDEX(Program!$H$2:$H$75,MATCH(B114,Program!$D$2:$D$75,0)),""))</f>
        <v/>
      </c>
      <c r="I114" s="11" t="str">
        <f aca="false">IF(B114="","",IFERROR(INDEX(Program!$I$2:$I$75,MATCH(B114,Program!$D$2:$D$75,0)),""))</f>
        <v/>
      </c>
      <c r="J114" s="11" t="str">
        <f aca="false">IF(COUNT(D114:G114)=0,"",COUNT(D114:G114))</f>
        <v/>
      </c>
      <c r="K114" s="12" t="str">
        <f aca="false">IF(OR(J114="",I114=""),"",IF(MIN(D114:G114)&gt;=I114,"Add load (smallest step)",IF(MAX(D114:G114)&lt;H114,"Below range: if again, drop 5–10%","Same load, add reps")))</f>
        <v/>
      </c>
      <c r="L114" s="20"/>
      <c r="M114" s="11" t="str">
        <f aca="false">IF(OR(L114="",C114="",H114="",C114=0),"",MAX(H114,ROUNDUP(30*((L114/C114)*(1+H114/30)-1),0)))</f>
        <v/>
      </c>
    </row>
    <row r="115" customFormat="false" ht="15" hidden="false" customHeight="false" outlineLevel="0" collapsed="false">
      <c r="A115" s="51"/>
      <c r="B115" s="54"/>
      <c r="C115" s="20"/>
      <c r="D115" s="20"/>
      <c r="E115" s="20"/>
      <c r="F115" s="20"/>
      <c r="G115" s="20"/>
      <c r="H115" s="11" t="str">
        <f aca="false">IF(B115="","",IFERROR(INDEX(Program!$H$2:$H$75,MATCH(B115,Program!$D$2:$D$75,0)),""))</f>
        <v/>
      </c>
      <c r="I115" s="11" t="str">
        <f aca="false">IF(B115="","",IFERROR(INDEX(Program!$I$2:$I$75,MATCH(B115,Program!$D$2:$D$75,0)),""))</f>
        <v/>
      </c>
      <c r="J115" s="11" t="str">
        <f aca="false">IF(COUNT(D115:G115)=0,"",COUNT(D115:G115))</f>
        <v/>
      </c>
      <c r="K115" s="12" t="str">
        <f aca="false">IF(OR(J115="",I115=""),"",IF(MIN(D115:G115)&gt;=I115,"Add load (smallest step)",IF(MAX(D115:G115)&lt;H115,"Below range: if again, drop 5–10%","Same load, add reps")))</f>
        <v/>
      </c>
      <c r="L115" s="20"/>
      <c r="M115" s="11" t="str">
        <f aca="false">IF(OR(L115="",C115="",H115="",C115=0),"",MAX(H115,ROUNDUP(30*((L115/C115)*(1+H115/30)-1),0)))</f>
        <v/>
      </c>
    </row>
    <row r="116" customFormat="false" ht="15" hidden="false" customHeight="false" outlineLevel="0" collapsed="false">
      <c r="A116" s="51"/>
      <c r="B116" s="54"/>
      <c r="C116" s="20"/>
      <c r="D116" s="20"/>
      <c r="E116" s="20"/>
      <c r="F116" s="20"/>
      <c r="G116" s="20"/>
      <c r="H116" s="11" t="str">
        <f aca="false">IF(B116="","",IFERROR(INDEX(Program!$H$2:$H$75,MATCH(B116,Program!$D$2:$D$75,0)),""))</f>
        <v/>
      </c>
      <c r="I116" s="11" t="str">
        <f aca="false">IF(B116="","",IFERROR(INDEX(Program!$I$2:$I$75,MATCH(B116,Program!$D$2:$D$75,0)),""))</f>
        <v/>
      </c>
      <c r="J116" s="11" t="str">
        <f aca="false">IF(COUNT(D116:G116)=0,"",COUNT(D116:G116))</f>
        <v/>
      </c>
      <c r="K116" s="12" t="str">
        <f aca="false">IF(OR(J116="",I116=""),"",IF(MIN(D116:G116)&gt;=I116,"Add load (smallest step)",IF(MAX(D116:G116)&lt;H116,"Below range: if again, drop 5–10%","Same load, add reps")))</f>
        <v/>
      </c>
      <c r="L116" s="20"/>
      <c r="M116" s="11" t="str">
        <f aca="false">IF(OR(L116="",C116="",H116="",C116=0),"",MAX(H116,ROUNDUP(30*((L116/C116)*(1+H116/30)-1),0)))</f>
        <v/>
      </c>
    </row>
    <row r="117" customFormat="false" ht="15" hidden="false" customHeight="false" outlineLevel="0" collapsed="false">
      <c r="A117" s="51"/>
      <c r="B117" s="54"/>
      <c r="C117" s="20"/>
      <c r="D117" s="20"/>
      <c r="E117" s="20"/>
      <c r="F117" s="20"/>
      <c r="G117" s="20"/>
      <c r="H117" s="11" t="str">
        <f aca="false">IF(B117="","",IFERROR(INDEX(Program!$H$2:$H$75,MATCH(B117,Program!$D$2:$D$75,0)),""))</f>
        <v/>
      </c>
      <c r="I117" s="11" t="str">
        <f aca="false">IF(B117="","",IFERROR(INDEX(Program!$I$2:$I$75,MATCH(B117,Program!$D$2:$D$75,0)),""))</f>
        <v/>
      </c>
      <c r="J117" s="11" t="str">
        <f aca="false">IF(COUNT(D117:G117)=0,"",COUNT(D117:G117))</f>
        <v/>
      </c>
      <c r="K117" s="12" t="str">
        <f aca="false">IF(OR(J117="",I117=""),"",IF(MIN(D117:G117)&gt;=I117,"Add load (smallest step)",IF(MAX(D117:G117)&lt;H117,"Below range: if again, drop 5–10%","Same load, add reps")))</f>
        <v/>
      </c>
      <c r="L117" s="20"/>
      <c r="M117" s="11" t="str">
        <f aca="false">IF(OR(L117="",C117="",H117="",C117=0),"",MAX(H117,ROUNDUP(30*((L117/C117)*(1+H117/30)-1),0)))</f>
        <v/>
      </c>
    </row>
    <row r="118" customFormat="false" ht="15" hidden="false" customHeight="false" outlineLevel="0" collapsed="false">
      <c r="A118" s="51"/>
      <c r="B118" s="54"/>
      <c r="C118" s="20"/>
      <c r="D118" s="20"/>
      <c r="E118" s="20"/>
      <c r="F118" s="20"/>
      <c r="G118" s="20"/>
      <c r="H118" s="11" t="str">
        <f aca="false">IF(B118="","",IFERROR(INDEX(Program!$H$2:$H$75,MATCH(B118,Program!$D$2:$D$75,0)),""))</f>
        <v/>
      </c>
      <c r="I118" s="11" t="str">
        <f aca="false">IF(B118="","",IFERROR(INDEX(Program!$I$2:$I$75,MATCH(B118,Program!$D$2:$D$75,0)),""))</f>
        <v/>
      </c>
      <c r="J118" s="11" t="str">
        <f aca="false">IF(COUNT(D118:G118)=0,"",COUNT(D118:G118))</f>
        <v/>
      </c>
      <c r="K118" s="12" t="str">
        <f aca="false">IF(OR(J118="",I118=""),"",IF(MIN(D118:G118)&gt;=I118,"Add load (smallest step)",IF(MAX(D118:G118)&lt;H118,"Below range: if again, drop 5–10%","Same load, add reps")))</f>
        <v/>
      </c>
      <c r="L118" s="20"/>
      <c r="M118" s="11" t="str">
        <f aca="false">IF(OR(L118="",C118="",H118="",C118=0),"",MAX(H118,ROUNDUP(30*((L118/C118)*(1+H118/30)-1),0)))</f>
        <v/>
      </c>
    </row>
    <row r="119" customFormat="false" ht="15" hidden="false" customHeight="false" outlineLevel="0" collapsed="false">
      <c r="A119" s="51"/>
      <c r="B119" s="54"/>
      <c r="C119" s="20"/>
      <c r="D119" s="20"/>
      <c r="E119" s="20"/>
      <c r="F119" s="20"/>
      <c r="G119" s="20"/>
      <c r="H119" s="11" t="str">
        <f aca="false">IF(B119="","",IFERROR(INDEX(Program!$H$2:$H$75,MATCH(B119,Program!$D$2:$D$75,0)),""))</f>
        <v/>
      </c>
      <c r="I119" s="11" t="str">
        <f aca="false">IF(B119="","",IFERROR(INDEX(Program!$I$2:$I$75,MATCH(B119,Program!$D$2:$D$75,0)),""))</f>
        <v/>
      </c>
      <c r="J119" s="11" t="str">
        <f aca="false">IF(COUNT(D119:G119)=0,"",COUNT(D119:G119))</f>
        <v/>
      </c>
      <c r="K119" s="12" t="str">
        <f aca="false">IF(OR(J119="",I119=""),"",IF(MIN(D119:G119)&gt;=I119,"Add load (smallest step)",IF(MAX(D119:G119)&lt;H119,"Below range: if again, drop 5–10%","Same load, add reps")))</f>
        <v/>
      </c>
      <c r="L119" s="20"/>
      <c r="M119" s="11" t="str">
        <f aca="false">IF(OR(L119="",C119="",H119="",C119=0),"",MAX(H119,ROUNDUP(30*((L119/C119)*(1+H119/30)-1),0)))</f>
        <v/>
      </c>
    </row>
    <row r="120" customFormat="false" ht="15" hidden="false" customHeight="false" outlineLevel="0" collapsed="false">
      <c r="A120" s="51"/>
      <c r="B120" s="54"/>
      <c r="C120" s="20"/>
      <c r="D120" s="20"/>
      <c r="E120" s="20"/>
      <c r="F120" s="20"/>
      <c r="G120" s="20"/>
      <c r="H120" s="11" t="str">
        <f aca="false">IF(B120="","",IFERROR(INDEX(Program!$H$2:$H$75,MATCH(B120,Program!$D$2:$D$75,0)),""))</f>
        <v/>
      </c>
      <c r="I120" s="11" t="str">
        <f aca="false">IF(B120="","",IFERROR(INDEX(Program!$I$2:$I$75,MATCH(B120,Program!$D$2:$D$75,0)),""))</f>
        <v/>
      </c>
      <c r="J120" s="11" t="str">
        <f aca="false">IF(COUNT(D120:G120)=0,"",COUNT(D120:G120))</f>
        <v/>
      </c>
      <c r="K120" s="12" t="str">
        <f aca="false">IF(OR(J120="",I120=""),"",IF(MIN(D120:G120)&gt;=I120,"Add load (smallest step)",IF(MAX(D120:G120)&lt;H120,"Below range: if again, drop 5–10%","Same load, add reps")))</f>
        <v/>
      </c>
      <c r="L120" s="20"/>
      <c r="M120" s="11" t="str">
        <f aca="false">IF(OR(L120="",C120="",H120="",C120=0),"",MAX(H120,ROUNDUP(30*((L120/C120)*(1+H120/30)-1),0)))</f>
        <v/>
      </c>
    </row>
    <row r="121" customFormat="false" ht="15" hidden="false" customHeight="false" outlineLevel="0" collapsed="false">
      <c r="A121" s="51"/>
      <c r="B121" s="54"/>
      <c r="C121" s="20"/>
      <c r="D121" s="20"/>
      <c r="E121" s="20"/>
      <c r="F121" s="20"/>
      <c r="G121" s="20"/>
      <c r="H121" s="11" t="str">
        <f aca="false">IF(B121="","",IFERROR(INDEX(Program!$H$2:$H$75,MATCH(B121,Program!$D$2:$D$75,0)),""))</f>
        <v/>
      </c>
      <c r="I121" s="11" t="str">
        <f aca="false">IF(B121="","",IFERROR(INDEX(Program!$I$2:$I$75,MATCH(B121,Program!$D$2:$D$75,0)),""))</f>
        <v/>
      </c>
      <c r="J121" s="11" t="str">
        <f aca="false">IF(COUNT(D121:G121)=0,"",COUNT(D121:G121))</f>
        <v/>
      </c>
      <c r="K121" s="12" t="str">
        <f aca="false">IF(OR(J121="",I121=""),"",IF(MIN(D121:G121)&gt;=I121,"Add load (smallest step)",IF(MAX(D121:G121)&lt;H121,"Below range: if again, drop 5–10%","Same load, add reps")))</f>
        <v/>
      </c>
      <c r="L121" s="20"/>
      <c r="M121" s="11" t="str">
        <f aca="false">IF(OR(L121="",C121="",H121="",C121=0),"",MAX(H121,ROUNDUP(30*((L121/C121)*(1+H121/30)-1),0)))</f>
        <v/>
      </c>
    </row>
    <row r="122" customFormat="false" ht="15" hidden="false" customHeight="false" outlineLevel="0" collapsed="false">
      <c r="A122" s="51"/>
      <c r="B122" s="54"/>
      <c r="C122" s="20"/>
      <c r="D122" s="20"/>
      <c r="E122" s="20"/>
      <c r="F122" s="20"/>
      <c r="G122" s="20"/>
      <c r="H122" s="11" t="str">
        <f aca="false">IF(B122="","",IFERROR(INDEX(Program!$H$2:$H$75,MATCH(B122,Program!$D$2:$D$75,0)),""))</f>
        <v/>
      </c>
      <c r="I122" s="11" t="str">
        <f aca="false">IF(B122="","",IFERROR(INDEX(Program!$I$2:$I$75,MATCH(B122,Program!$D$2:$D$75,0)),""))</f>
        <v/>
      </c>
      <c r="J122" s="11" t="str">
        <f aca="false">IF(COUNT(D122:G122)=0,"",COUNT(D122:G122))</f>
        <v/>
      </c>
      <c r="K122" s="12" t="str">
        <f aca="false">IF(OR(J122="",I122=""),"",IF(MIN(D122:G122)&gt;=I122,"Add load (smallest step)",IF(MAX(D122:G122)&lt;H122,"Below range: if again, drop 5–10%","Same load, add reps")))</f>
        <v/>
      </c>
      <c r="L122" s="20"/>
      <c r="M122" s="11" t="str">
        <f aca="false">IF(OR(L122="",C122="",H122="",C122=0),"",MAX(H122,ROUNDUP(30*((L122/C122)*(1+H122/30)-1),0)))</f>
        <v/>
      </c>
    </row>
    <row r="123" customFormat="false" ht="15" hidden="false" customHeight="false" outlineLevel="0" collapsed="false">
      <c r="A123" s="51"/>
      <c r="B123" s="54"/>
      <c r="C123" s="20"/>
      <c r="D123" s="20"/>
      <c r="E123" s="20"/>
      <c r="F123" s="20"/>
      <c r="G123" s="20"/>
      <c r="H123" s="11" t="str">
        <f aca="false">IF(B123="","",IFERROR(INDEX(Program!$H$2:$H$75,MATCH(B123,Program!$D$2:$D$75,0)),""))</f>
        <v/>
      </c>
      <c r="I123" s="11" t="str">
        <f aca="false">IF(B123="","",IFERROR(INDEX(Program!$I$2:$I$75,MATCH(B123,Program!$D$2:$D$75,0)),""))</f>
        <v/>
      </c>
      <c r="J123" s="11" t="str">
        <f aca="false">IF(COUNT(D123:G123)=0,"",COUNT(D123:G123))</f>
        <v/>
      </c>
      <c r="K123" s="12" t="str">
        <f aca="false">IF(OR(J123="",I123=""),"",IF(MIN(D123:G123)&gt;=I123,"Add load (smallest step)",IF(MAX(D123:G123)&lt;H123,"Below range: if again, drop 5–10%","Same load, add reps")))</f>
        <v/>
      </c>
      <c r="L123" s="20"/>
      <c r="M123" s="11" t="str">
        <f aca="false">IF(OR(L123="",C123="",H123="",C123=0),"",MAX(H123,ROUNDUP(30*((L123/C123)*(1+H123/30)-1),0)))</f>
        <v/>
      </c>
    </row>
    <row r="124" customFormat="false" ht="15" hidden="false" customHeight="false" outlineLevel="0" collapsed="false">
      <c r="A124" s="51"/>
      <c r="B124" s="54"/>
      <c r="C124" s="20"/>
      <c r="D124" s="20"/>
      <c r="E124" s="20"/>
      <c r="F124" s="20"/>
      <c r="G124" s="20"/>
      <c r="H124" s="11" t="str">
        <f aca="false">IF(B124="","",IFERROR(INDEX(Program!$H$2:$H$75,MATCH(B124,Program!$D$2:$D$75,0)),""))</f>
        <v/>
      </c>
      <c r="I124" s="11" t="str">
        <f aca="false">IF(B124="","",IFERROR(INDEX(Program!$I$2:$I$75,MATCH(B124,Program!$D$2:$D$75,0)),""))</f>
        <v/>
      </c>
      <c r="J124" s="11" t="str">
        <f aca="false">IF(COUNT(D124:G124)=0,"",COUNT(D124:G124))</f>
        <v/>
      </c>
      <c r="K124" s="12" t="str">
        <f aca="false">IF(OR(J124="",I124=""),"",IF(MIN(D124:G124)&gt;=I124,"Add load (smallest step)",IF(MAX(D124:G124)&lt;H124,"Below range: if again, drop 5–10%","Same load, add reps")))</f>
        <v/>
      </c>
      <c r="L124" s="20"/>
      <c r="M124" s="11" t="str">
        <f aca="false">IF(OR(L124="",C124="",H124="",C124=0),"",MAX(H124,ROUNDUP(30*((L124/C124)*(1+H124/30)-1),0)))</f>
        <v/>
      </c>
    </row>
    <row r="125" customFormat="false" ht="15" hidden="false" customHeight="false" outlineLevel="0" collapsed="false">
      <c r="A125" s="51"/>
      <c r="B125" s="54"/>
      <c r="C125" s="20"/>
      <c r="D125" s="20"/>
      <c r="E125" s="20"/>
      <c r="F125" s="20"/>
      <c r="G125" s="20"/>
      <c r="H125" s="11" t="str">
        <f aca="false">IF(B125="","",IFERROR(INDEX(Program!$H$2:$H$75,MATCH(B125,Program!$D$2:$D$75,0)),""))</f>
        <v/>
      </c>
      <c r="I125" s="11" t="str">
        <f aca="false">IF(B125="","",IFERROR(INDEX(Program!$I$2:$I$75,MATCH(B125,Program!$D$2:$D$75,0)),""))</f>
        <v/>
      </c>
      <c r="J125" s="11" t="str">
        <f aca="false">IF(COUNT(D125:G125)=0,"",COUNT(D125:G125))</f>
        <v/>
      </c>
      <c r="K125" s="12" t="str">
        <f aca="false">IF(OR(J125="",I125=""),"",IF(MIN(D125:G125)&gt;=I125,"Add load (smallest step)",IF(MAX(D125:G125)&lt;H125,"Below range: if again, drop 5–10%","Same load, add reps")))</f>
        <v/>
      </c>
      <c r="L125" s="20"/>
      <c r="M125" s="11" t="str">
        <f aca="false">IF(OR(L125="",C125="",H125="",C125=0),"",MAX(H125,ROUNDUP(30*((L125/C125)*(1+H125/30)-1),0)))</f>
        <v/>
      </c>
    </row>
    <row r="126" customFormat="false" ht="15" hidden="false" customHeight="false" outlineLevel="0" collapsed="false">
      <c r="A126" s="51"/>
      <c r="B126" s="54"/>
      <c r="C126" s="20"/>
      <c r="D126" s="20"/>
      <c r="E126" s="20"/>
      <c r="F126" s="20"/>
      <c r="G126" s="20"/>
      <c r="H126" s="11" t="str">
        <f aca="false">IF(B126="","",IFERROR(INDEX(Program!$H$2:$H$75,MATCH(B126,Program!$D$2:$D$75,0)),""))</f>
        <v/>
      </c>
      <c r="I126" s="11" t="str">
        <f aca="false">IF(B126="","",IFERROR(INDEX(Program!$I$2:$I$75,MATCH(B126,Program!$D$2:$D$75,0)),""))</f>
        <v/>
      </c>
      <c r="J126" s="11" t="str">
        <f aca="false">IF(COUNT(D126:G126)=0,"",COUNT(D126:G126))</f>
        <v/>
      </c>
      <c r="K126" s="12" t="str">
        <f aca="false">IF(OR(J126="",I126=""),"",IF(MIN(D126:G126)&gt;=I126,"Add load (smallest step)",IF(MAX(D126:G126)&lt;H126,"Below range: if again, drop 5–10%","Same load, add reps")))</f>
        <v/>
      </c>
      <c r="L126" s="20"/>
      <c r="M126" s="11" t="str">
        <f aca="false">IF(OR(L126="",C126="",H126="",C126=0),"",MAX(H126,ROUNDUP(30*((L126/C126)*(1+H126/30)-1),0)))</f>
        <v/>
      </c>
    </row>
    <row r="127" customFormat="false" ht="15" hidden="false" customHeight="false" outlineLevel="0" collapsed="false">
      <c r="A127" s="51"/>
      <c r="B127" s="54"/>
      <c r="C127" s="20"/>
      <c r="D127" s="20"/>
      <c r="E127" s="20"/>
      <c r="F127" s="20"/>
      <c r="G127" s="20"/>
      <c r="H127" s="11" t="str">
        <f aca="false">IF(B127="","",IFERROR(INDEX(Program!$H$2:$H$75,MATCH(B127,Program!$D$2:$D$75,0)),""))</f>
        <v/>
      </c>
      <c r="I127" s="11" t="str">
        <f aca="false">IF(B127="","",IFERROR(INDEX(Program!$I$2:$I$75,MATCH(B127,Program!$D$2:$D$75,0)),""))</f>
        <v/>
      </c>
      <c r="J127" s="11" t="str">
        <f aca="false">IF(COUNT(D127:G127)=0,"",COUNT(D127:G127))</f>
        <v/>
      </c>
      <c r="K127" s="12" t="str">
        <f aca="false">IF(OR(J127="",I127=""),"",IF(MIN(D127:G127)&gt;=I127,"Add load (smallest step)",IF(MAX(D127:G127)&lt;H127,"Below range: if again, drop 5–10%","Same load, add reps")))</f>
        <v/>
      </c>
      <c r="L127" s="20"/>
      <c r="M127" s="11" t="str">
        <f aca="false">IF(OR(L127="",C127="",H127="",C127=0),"",MAX(H127,ROUNDUP(30*((L127/C127)*(1+H127/30)-1),0)))</f>
        <v/>
      </c>
    </row>
    <row r="128" customFormat="false" ht="15" hidden="false" customHeight="false" outlineLevel="0" collapsed="false">
      <c r="A128" s="51"/>
      <c r="B128" s="54"/>
      <c r="C128" s="20"/>
      <c r="D128" s="20"/>
      <c r="E128" s="20"/>
      <c r="F128" s="20"/>
      <c r="G128" s="20"/>
      <c r="H128" s="11" t="str">
        <f aca="false">IF(B128="","",IFERROR(INDEX(Program!$H$2:$H$75,MATCH(B128,Program!$D$2:$D$75,0)),""))</f>
        <v/>
      </c>
      <c r="I128" s="11" t="str">
        <f aca="false">IF(B128="","",IFERROR(INDEX(Program!$I$2:$I$75,MATCH(B128,Program!$D$2:$D$75,0)),""))</f>
        <v/>
      </c>
      <c r="J128" s="11" t="str">
        <f aca="false">IF(COUNT(D128:G128)=0,"",COUNT(D128:G128))</f>
        <v/>
      </c>
      <c r="K128" s="12" t="str">
        <f aca="false">IF(OR(J128="",I128=""),"",IF(MIN(D128:G128)&gt;=I128,"Add load (smallest step)",IF(MAX(D128:G128)&lt;H128,"Below range: if again, drop 5–10%","Same load, add reps")))</f>
        <v/>
      </c>
      <c r="L128" s="20"/>
      <c r="M128" s="11" t="str">
        <f aca="false">IF(OR(L128="",C128="",H128="",C128=0),"",MAX(H128,ROUNDUP(30*((L128/C128)*(1+H128/30)-1),0)))</f>
        <v/>
      </c>
    </row>
    <row r="129" customFormat="false" ht="15" hidden="false" customHeight="false" outlineLevel="0" collapsed="false">
      <c r="A129" s="51"/>
      <c r="B129" s="54"/>
      <c r="C129" s="20"/>
      <c r="D129" s="20"/>
      <c r="E129" s="20"/>
      <c r="F129" s="20"/>
      <c r="G129" s="20"/>
      <c r="H129" s="11" t="str">
        <f aca="false">IF(B129="","",IFERROR(INDEX(Program!$H$2:$H$75,MATCH(B129,Program!$D$2:$D$75,0)),""))</f>
        <v/>
      </c>
      <c r="I129" s="11" t="str">
        <f aca="false">IF(B129="","",IFERROR(INDEX(Program!$I$2:$I$75,MATCH(B129,Program!$D$2:$D$75,0)),""))</f>
        <v/>
      </c>
      <c r="J129" s="11" t="str">
        <f aca="false">IF(COUNT(D129:G129)=0,"",COUNT(D129:G129))</f>
        <v/>
      </c>
      <c r="K129" s="12" t="str">
        <f aca="false">IF(OR(J129="",I129=""),"",IF(MIN(D129:G129)&gt;=I129,"Add load (smallest step)",IF(MAX(D129:G129)&lt;H129,"Below range: if again, drop 5–10%","Same load, add reps")))</f>
        <v/>
      </c>
      <c r="L129" s="20"/>
      <c r="M129" s="11" t="str">
        <f aca="false">IF(OR(L129="",C129="",H129="",C129=0),"",MAX(H129,ROUNDUP(30*((L129/C129)*(1+H129/30)-1),0)))</f>
        <v/>
      </c>
    </row>
    <row r="130" customFormat="false" ht="15" hidden="false" customHeight="false" outlineLevel="0" collapsed="false">
      <c r="A130" s="51"/>
      <c r="B130" s="54"/>
      <c r="C130" s="20"/>
      <c r="D130" s="20"/>
      <c r="E130" s="20"/>
      <c r="F130" s="20"/>
      <c r="G130" s="20"/>
      <c r="H130" s="11" t="str">
        <f aca="false">IF(B130="","",IFERROR(INDEX(Program!$H$2:$H$75,MATCH(B130,Program!$D$2:$D$75,0)),""))</f>
        <v/>
      </c>
      <c r="I130" s="11" t="str">
        <f aca="false">IF(B130="","",IFERROR(INDEX(Program!$I$2:$I$75,MATCH(B130,Program!$D$2:$D$75,0)),""))</f>
        <v/>
      </c>
      <c r="J130" s="11" t="str">
        <f aca="false">IF(COUNT(D130:G130)=0,"",COUNT(D130:G130))</f>
        <v/>
      </c>
      <c r="K130" s="12" t="str">
        <f aca="false">IF(OR(J130="",I130=""),"",IF(MIN(D130:G130)&gt;=I130,"Add load (smallest step)",IF(MAX(D130:G130)&lt;H130,"Below range: if again, drop 5–10%","Same load, add reps")))</f>
        <v/>
      </c>
      <c r="L130" s="20"/>
      <c r="M130" s="11" t="str">
        <f aca="false">IF(OR(L130="",C130="",H130="",C130=0),"",MAX(H130,ROUNDUP(30*((L130/C130)*(1+H130/30)-1),0)))</f>
        <v/>
      </c>
    </row>
    <row r="131" customFormat="false" ht="15" hidden="false" customHeight="false" outlineLevel="0" collapsed="false">
      <c r="A131" s="51"/>
      <c r="B131" s="54"/>
      <c r="C131" s="20"/>
      <c r="D131" s="20"/>
      <c r="E131" s="20"/>
      <c r="F131" s="20"/>
      <c r="G131" s="20"/>
      <c r="H131" s="11" t="str">
        <f aca="false">IF(B131="","",IFERROR(INDEX(Program!$H$2:$H$75,MATCH(B131,Program!$D$2:$D$75,0)),""))</f>
        <v/>
      </c>
      <c r="I131" s="11" t="str">
        <f aca="false">IF(B131="","",IFERROR(INDEX(Program!$I$2:$I$75,MATCH(B131,Program!$D$2:$D$75,0)),""))</f>
        <v/>
      </c>
      <c r="J131" s="11" t="str">
        <f aca="false">IF(COUNT(D131:G131)=0,"",COUNT(D131:G131))</f>
        <v/>
      </c>
      <c r="K131" s="12" t="str">
        <f aca="false">IF(OR(J131="",I131=""),"",IF(MIN(D131:G131)&gt;=I131,"Add load (smallest step)",IF(MAX(D131:G131)&lt;H131,"Below range: if again, drop 5–10%","Same load, add reps")))</f>
        <v/>
      </c>
      <c r="L131" s="20"/>
      <c r="M131" s="11" t="str">
        <f aca="false">IF(OR(L131="",C131="",H131="",C131=0),"",MAX(H131,ROUNDUP(30*((L131/C131)*(1+H131/30)-1),0)))</f>
        <v/>
      </c>
    </row>
    <row r="132" customFormat="false" ht="15" hidden="false" customHeight="false" outlineLevel="0" collapsed="false">
      <c r="A132" s="51"/>
      <c r="B132" s="54"/>
      <c r="C132" s="20"/>
      <c r="D132" s="20"/>
      <c r="E132" s="20"/>
      <c r="F132" s="20"/>
      <c r="G132" s="20"/>
      <c r="H132" s="11" t="str">
        <f aca="false">IF(B132="","",IFERROR(INDEX(Program!$H$2:$H$75,MATCH(B132,Program!$D$2:$D$75,0)),""))</f>
        <v/>
      </c>
      <c r="I132" s="11" t="str">
        <f aca="false">IF(B132="","",IFERROR(INDEX(Program!$I$2:$I$75,MATCH(B132,Program!$D$2:$D$75,0)),""))</f>
        <v/>
      </c>
      <c r="J132" s="11" t="str">
        <f aca="false">IF(COUNT(D132:G132)=0,"",COUNT(D132:G132))</f>
        <v/>
      </c>
      <c r="K132" s="12" t="str">
        <f aca="false">IF(OR(J132="",I132=""),"",IF(MIN(D132:G132)&gt;=I132,"Add load (smallest step)",IF(MAX(D132:G132)&lt;H132,"Below range: if again, drop 5–10%","Same load, add reps")))</f>
        <v/>
      </c>
      <c r="L132" s="20"/>
      <c r="M132" s="11" t="str">
        <f aca="false">IF(OR(L132="",C132="",H132="",C132=0),"",MAX(H132,ROUNDUP(30*((L132/C132)*(1+H132/30)-1),0)))</f>
        <v/>
      </c>
    </row>
    <row r="133" customFormat="false" ht="15" hidden="false" customHeight="false" outlineLevel="0" collapsed="false">
      <c r="A133" s="51"/>
      <c r="B133" s="54"/>
      <c r="C133" s="20"/>
      <c r="D133" s="20"/>
      <c r="E133" s="20"/>
      <c r="F133" s="20"/>
      <c r="G133" s="20"/>
      <c r="H133" s="11" t="str">
        <f aca="false">IF(B133="","",IFERROR(INDEX(Program!$H$2:$H$75,MATCH(B133,Program!$D$2:$D$75,0)),""))</f>
        <v/>
      </c>
      <c r="I133" s="11" t="str">
        <f aca="false">IF(B133="","",IFERROR(INDEX(Program!$I$2:$I$75,MATCH(B133,Program!$D$2:$D$75,0)),""))</f>
        <v/>
      </c>
      <c r="J133" s="11" t="str">
        <f aca="false">IF(COUNT(D133:G133)=0,"",COUNT(D133:G133))</f>
        <v/>
      </c>
      <c r="K133" s="12" t="str">
        <f aca="false">IF(OR(J133="",I133=""),"",IF(MIN(D133:G133)&gt;=I133,"Add load (smallest step)",IF(MAX(D133:G133)&lt;H133,"Below range: if again, drop 5–10%","Same load, add reps")))</f>
        <v/>
      </c>
      <c r="L133" s="20"/>
      <c r="M133" s="11" t="str">
        <f aca="false">IF(OR(L133="",C133="",H133="",C133=0),"",MAX(H133,ROUNDUP(30*((L133/C133)*(1+H133/30)-1),0)))</f>
        <v/>
      </c>
    </row>
    <row r="134" customFormat="false" ht="15" hidden="false" customHeight="false" outlineLevel="0" collapsed="false">
      <c r="A134" s="51"/>
      <c r="B134" s="54"/>
      <c r="C134" s="20"/>
      <c r="D134" s="20"/>
      <c r="E134" s="20"/>
      <c r="F134" s="20"/>
      <c r="G134" s="20"/>
      <c r="H134" s="11" t="str">
        <f aca="false">IF(B134="","",IFERROR(INDEX(Program!$H$2:$H$75,MATCH(B134,Program!$D$2:$D$75,0)),""))</f>
        <v/>
      </c>
      <c r="I134" s="11" t="str">
        <f aca="false">IF(B134="","",IFERROR(INDEX(Program!$I$2:$I$75,MATCH(B134,Program!$D$2:$D$75,0)),""))</f>
        <v/>
      </c>
      <c r="J134" s="11" t="str">
        <f aca="false">IF(COUNT(D134:G134)=0,"",COUNT(D134:G134))</f>
        <v/>
      </c>
      <c r="K134" s="12" t="str">
        <f aca="false">IF(OR(J134="",I134=""),"",IF(MIN(D134:G134)&gt;=I134,"Add load (smallest step)",IF(MAX(D134:G134)&lt;H134,"Below range: if again, drop 5–10%","Same load, add reps")))</f>
        <v/>
      </c>
      <c r="L134" s="20"/>
      <c r="M134" s="11" t="str">
        <f aca="false">IF(OR(L134="",C134="",H134="",C134=0),"",MAX(H134,ROUNDUP(30*((L134/C134)*(1+H134/30)-1),0)))</f>
        <v/>
      </c>
    </row>
    <row r="135" customFormat="false" ht="15" hidden="false" customHeight="false" outlineLevel="0" collapsed="false">
      <c r="A135" s="51"/>
      <c r="B135" s="54"/>
      <c r="C135" s="20"/>
      <c r="D135" s="20"/>
      <c r="E135" s="20"/>
      <c r="F135" s="20"/>
      <c r="G135" s="20"/>
      <c r="H135" s="11" t="str">
        <f aca="false">IF(B135="","",IFERROR(INDEX(Program!$H$2:$H$75,MATCH(B135,Program!$D$2:$D$75,0)),""))</f>
        <v/>
      </c>
      <c r="I135" s="11" t="str">
        <f aca="false">IF(B135="","",IFERROR(INDEX(Program!$I$2:$I$75,MATCH(B135,Program!$D$2:$D$75,0)),""))</f>
        <v/>
      </c>
      <c r="J135" s="11" t="str">
        <f aca="false">IF(COUNT(D135:G135)=0,"",COUNT(D135:G135))</f>
        <v/>
      </c>
      <c r="K135" s="12" t="str">
        <f aca="false">IF(OR(J135="",I135=""),"",IF(MIN(D135:G135)&gt;=I135,"Add load (smallest step)",IF(MAX(D135:G135)&lt;H135,"Below range: if again, drop 5–10%","Same load, add reps")))</f>
        <v/>
      </c>
      <c r="L135" s="20"/>
      <c r="M135" s="11" t="str">
        <f aca="false">IF(OR(L135="",C135="",H135="",C135=0),"",MAX(H135,ROUNDUP(30*((L135/C135)*(1+H135/30)-1),0)))</f>
        <v/>
      </c>
    </row>
    <row r="136" customFormat="false" ht="15" hidden="false" customHeight="false" outlineLevel="0" collapsed="false">
      <c r="A136" s="51"/>
      <c r="B136" s="54"/>
      <c r="C136" s="20"/>
      <c r="D136" s="20"/>
      <c r="E136" s="20"/>
      <c r="F136" s="20"/>
      <c r="G136" s="20"/>
      <c r="H136" s="11" t="str">
        <f aca="false">IF(B136="","",IFERROR(INDEX(Program!$H$2:$H$75,MATCH(B136,Program!$D$2:$D$75,0)),""))</f>
        <v/>
      </c>
      <c r="I136" s="11" t="str">
        <f aca="false">IF(B136="","",IFERROR(INDEX(Program!$I$2:$I$75,MATCH(B136,Program!$D$2:$D$75,0)),""))</f>
        <v/>
      </c>
      <c r="J136" s="11" t="str">
        <f aca="false">IF(COUNT(D136:G136)=0,"",COUNT(D136:G136))</f>
        <v/>
      </c>
      <c r="K136" s="12" t="str">
        <f aca="false">IF(OR(J136="",I136=""),"",IF(MIN(D136:G136)&gt;=I136,"Add load (smallest step)",IF(MAX(D136:G136)&lt;H136,"Below range: if again, drop 5–10%","Same load, add reps")))</f>
        <v/>
      </c>
      <c r="L136" s="20"/>
      <c r="M136" s="11" t="str">
        <f aca="false">IF(OR(L136="",C136="",H136="",C136=0),"",MAX(H136,ROUNDUP(30*((L136/C136)*(1+H136/30)-1),0)))</f>
        <v/>
      </c>
    </row>
    <row r="137" customFormat="false" ht="15" hidden="false" customHeight="false" outlineLevel="0" collapsed="false">
      <c r="A137" s="51"/>
      <c r="B137" s="54"/>
      <c r="C137" s="20"/>
      <c r="D137" s="20"/>
      <c r="E137" s="20"/>
      <c r="F137" s="20"/>
      <c r="G137" s="20"/>
      <c r="H137" s="11" t="str">
        <f aca="false">IF(B137="","",IFERROR(INDEX(Program!$H$2:$H$75,MATCH(B137,Program!$D$2:$D$75,0)),""))</f>
        <v/>
      </c>
      <c r="I137" s="11" t="str">
        <f aca="false">IF(B137="","",IFERROR(INDEX(Program!$I$2:$I$75,MATCH(B137,Program!$D$2:$D$75,0)),""))</f>
        <v/>
      </c>
      <c r="J137" s="11" t="str">
        <f aca="false">IF(COUNT(D137:G137)=0,"",COUNT(D137:G137))</f>
        <v/>
      </c>
      <c r="K137" s="12" t="str">
        <f aca="false">IF(OR(J137="",I137=""),"",IF(MIN(D137:G137)&gt;=I137,"Add load (smallest step)",IF(MAX(D137:G137)&lt;H137,"Below range: if again, drop 5–10%","Same load, add reps")))</f>
        <v/>
      </c>
      <c r="L137" s="20"/>
      <c r="M137" s="11" t="str">
        <f aca="false">IF(OR(L137="",C137="",H137="",C137=0),"",MAX(H137,ROUNDUP(30*((L137/C137)*(1+H137/30)-1),0)))</f>
        <v/>
      </c>
    </row>
    <row r="138" customFormat="false" ht="15" hidden="false" customHeight="false" outlineLevel="0" collapsed="false">
      <c r="A138" s="51"/>
      <c r="B138" s="54"/>
      <c r="C138" s="20"/>
      <c r="D138" s="20"/>
      <c r="E138" s="20"/>
      <c r="F138" s="20"/>
      <c r="G138" s="20"/>
      <c r="H138" s="11" t="str">
        <f aca="false">IF(B138="","",IFERROR(INDEX(Program!$H$2:$H$75,MATCH(B138,Program!$D$2:$D$75,0)),""))</f>
        <v/>
      </c>
      <c r="I138" s="11" t="str">
        <f aca="false">IF(B138="","",IFERROR(INDEX(Program!$I$2:$I$75,MATCH(B138,Program!$D$2:$D$75,0)),""))</f>
        <v/>
      </c>
      <c r="J138" s="11" t="str">
        <f aca="false">IF(COUNT(D138:G138)=0,"",COUNT(D138:G138))</f>
        <v/>
      </c>
      <c r="K138" s="12" t="str">
        <f aca="false">IF(OR(J138="",I138=""),"",IF(MIN(D138:G138)&gt;=I138,"Add load (smallest step)",IF(MAX(D138:G138)&lt;H138,"Below range: if again, drop 5–10%","Same load, add reps")))</f>
        <v/>
      </c>
      <c r="L138" s="20"/>
      <c r="M138" s="11" t="str">
        <f aca="false">IF(OR(L138="",C138="",H138="",C138=0),"",MAX(H138,ROUNDUP(30*((L138/C138)*(1+H138/30)-1),0)))</f>
        <v/>
      </c>
    </row>
    <row r="139" customFormat="false" ht="15" hidden="false" customHeight="false" outlineLevel="0" collapsed="false">
      <c r="A139" s="51"/>
      <c r="B139" s="54"/>
      <c r="C139" s="20"/>
      <c r="D139" s="20"/>
      <c r="E139" s="20"/>
      <c r="F139" s="20"/>
      <c r="G139" s="20"/>
      <c r="H139" s="11" t="str">
        <f aca="false">IF(B139="","",IFERROR(INDEX(Program!$H$2:$H$75,MATCH(B139,Program!$D$2:$D$75,0)),""))</f>
        <v/>
      </c>
      <c r="I139" s="11" t="str">
        <f aca="false">IF(B139="","",IFERROR(INDEX(Program!$I$2:$I$75,MATCH(B139,Program!$D$2:$D$75,0)),""))</f>
        <v/>
      </c>
      <c r="J139" s="11" t="str">
        <f aca="false">IF(COUNT(D139:G139)=0,"",COUNT(D139:G139))</f>
        <v/>
      </c>
      <c r="K139" s="12" t="str">
        <f aca="false">IF(OR(J139="",I139=""),"",IF(MIN(D139:G139)&gt;=I139,"Add load (smallest step)",IF(MAX(D139:G139)&lt;H139,"Below range: if again, drop 5–10%","Same load, add reps")))</f>
        <v/>
      </c>
      <c r="L139" s="20"/>
      <c r="M139" s="11" t="str">
        <f aca="false">IF(OR(L139="",C139="",H139="",C139=0),"",MAX(H139,ROUNDUP(30*((L139/C139)*(1+H139/30)-1),0)))</f>
        <v/>
      </c>
    </row>
    <row r="140" customFormat="false" ht="15" hidden="false" customHeight="false" outlineLevel="0" collapsed="false">
      <c r="A140" s="51"/>
      <c r="B140" s="54"/>
      <c r="C140" s="20"/>
      <c r="D140" s="20"/>
      <c r="E140" s="20"/>
      <c r="F140" s="20"/>
      <c r="G140" s="20"/>
      <c r="H140" s="11" t="str">
        <f aca="false">IF(B140="","",IFERROR(INDEX(Program!$H$2:$H$75,MATCH(B140,Program!$D$2:$D$75,0)),""))</f>
        <v/>
      </c>
      <c r="I140" s="11" t="str">
        <f aca="false">IF(B140="","",IFERROR(INDEX(Program!$I$2:$I$75,MATCH(B140,Program!$D$2:$D$75,0)),""))</f>
        <v/>
      </c>
      <c r="J140" s="11" t="str">
        <f aca="false">IF(COUNT(D140:G140)=0,"",COUNT(D140:G140))</f>
        <v/>
      </c>
      <c r="K140" s="12" t="str">
        <f aca="false">IF(OR(J140="",I140=""),"",IF(MIN(D140:G140)&gt;=I140,"Add load (smallest step)",IF(MAX(D140:G140)&lt;H140,"Below range: if again, drop 5–10%","Same load, add reps")))</f>
        <v/>
      </c>
      <c r="L140" s="20"/>
      <c r="M140" s="11" t="str">
        <f aca="false">IF(OR(L140="",C140="",H140="",C140=0),"",MAX(H140,ROUNDUP(30*((L140/C140)*(1+H140/30)-1),0)))</f>
        <v/>
      </c>
    </row>
    <row r="141" customFormat="false" ht="15" hidden="false" customHeight="false" outlineLevel="0" collapsed="false">
      <c r="A141" s="51"/>
      <c r="B141" s="54"/>
      <c r="C141" s="20"/>
      <c r="D141" s="20"/>
      <c r="E141" s="20"/>
      <c r="F141" s="20"/>
      <c r="G141" s="20"/>
      <c r="H141" s="11" t="str">
        <f aca="false">IF(B141="","",IFERROR(INDEX(Program!$H$2:$H$75,MATCH(B141,Program!$D$2:$D$75,0)),""))</f>
        <v/>
      </c>
      <c r="I141" s="11" t="str">
        <f aca="false">IF(B141="","",IFERROR(INDEX(Program!$I$2:$I$75,MATCH(B141,Program!$D$2:$D$75,0)),""))</f>
        <v/>
      </c>
      <c r="J141" s="11" t="str">
        <f aca="false">IF(COUNT(D141:G141)=0,"",COUNT(D141:G141))</f>
        <v/>
      </c>
      <c r="K141" s="12" t="str">
        <f aca="false">IF(OR(J141="",I141=""),"",IF(MIN(D141:G141)&gt;=I141,"Add load (smallest step)",IF(MAX(D141:G141)&lt;H141,"Below range: if again, drop 5–10%","Same load, add reps")))</f>
        <v/>
      </c>
      <c r="L141" s="20"/>
      <c r="M141" s="11" t="str">
        <f aca="false">IF(OR(L141="",C141="",H141="",C141=0),"",MAX(H141,ROUNDUP(30*((L141/C141)*(1+H141/30)-1),0)))</f>
        <v/>
      </c>
    </row>
    <row r="142" customFormat="false" ht="15" hidden="false" customHeight="false" outlineLevel="0" collapsed="false">
      <c r="A142" s="51"/>
      <c r="B142" s="54"/>
      <c r="C142" s="20"/>
      <c r="D142" s="20"/>
      <c r="E142" s="20"/>
      <c r="F142" s="20"/>
      <c r="G142" s="20"/>
      <c r="H142" s="11" t="str">
        <f aca="false">IF(B142="","",IFERROR(INDEX(Program!$H$2:$H$75,MATCH(B142,Program!$D$2:$D$75,0)),""))</f>
        <v/>
      </c>
      <c r="I142" s="11" t="str">
        <f aca="false">IF(B142="","",IFERROR(INDEX(Program!$I$2:$I$75,MATCH(B142,Program!$D$2:$D$75,0)),""))</f>
        <v/>
      </c>
      <c r="J142" s="11" t="str">
        <f aca="false">IF(COUNT(D142:G142)=0,"",COUNT(D142:G142))</f>
        <v/>
      </c>
      <c r="K142" s="12" t="str">
        <f aca="false">IF(OR(J142="",I142=""),"",IF(MIN(D142:G142)&gt;=I142,"Add load (smallest step)",IF(MAX(D142:G142)&lt;H142,"Below range: if again, drop 5–10%","Same load, add reps")))</f>
        <v/>
      </c>
      <c r="L142" s="20"/>
      <c r="M142" s="11" t="str">
        <f aca="false">IF(OR(L142="",C142="",H142="",C142=0),"",MAX(H142,ROUNDUP(30*((L142/C142)*(1+H142/30)-1),0)))</f>
        <v/>
      </c>
    </row>
    <row r="143" customFormat="false" ht="15" hidden="false" customHeight="false" outlineLevel="0" collapsed="false">
      <c r="A143" s="51"/>
      <c r="B143" s="54"/>
      <c r="C143" s="20"/>
      <c r="D143" s="20"/>
      <c r="E143" s="20"/>
      <c r="F143" s="20"/>
      <c r="G143" s="20"/>
      <c r="H143" s="11" t="str">
        <f aca="false">IF(B143="","",IFERROR(INDEX(Program!$H$2:$H$75,MATCH(B143,Program!$D$2:$D$75,0)),""))</f>
        <v/>
      </c>
      <c r="I143" s="11" t="str">
        <f aca="false">IF(B143="","",IFERROR(INDEX(Program!$I$2:$I$75,MATCH(B143,Program!$D$2:$D$75,0)),""))</f>
        <v/>
      </c>
      <c r="J143" s="11" t="str">
        <f aca="false">IF(COUNT(D143:G143)=0,"",COUNT(D143:G143))</f>
        <v/>
      </c>
      <c r="K143" s="12" t="str">
        <f aca="false">IF(OR(J143="",I143=""),"",IF(MIN(D143:G143)&gt;=I143,"Add load (smallest step)",IF(MAX(D143:G143)&lt;H143,"Below range: if again, drop 5–10%","Same load, add reps")))</f>
        <v/>
      </c>
      <c r="L143" s="20"/>
      <c r="M143" s="11" t="str">
        <f aca="false">IF(OR(L143="",C143="",H143="",C143=0),"",MAX(H143,ROUNDUP(30*((L143/C143)*(1+H143/30)-1),0)))</f>
        <v/>
      </c>
    </row>
    <row r="144" customFormat="false" ht="15" hidden="false" customHeight="false" outlineLevel="0" collapsed="false">
      <c r="A144" s="51"/>
      <c r="B144" s="54"/>
      <c r="C144" s="20"/>
      <c r="D144" s="20"/>
      <c r="E144" s="20"/>
      <c r="F144" s="20"/>
      <c r="G144" s="20"/>
      <c r="H144" s="11" t="str">
        <f aca="false">IF(B144="","",IFERROR(INDEX(Program!$H$2:$H$75,MATCH(B144,Program!$D$2:$D$75,0)),""))</f>
        <v/>
      </c>
      <c r="I144" s="11" t="str">
        <f aca="false">IF(B144="","",IFERROR(INDEX(Program!$I$2:$I$75,MATCH(B144,Program!$D$2:$D$75,0)),""))</f>
        <v/>
      </c>
      <c r="J144" s="11" t="str">
        <f aca="false">IF(COUNT(D144:G144)=0,"",COUNT(D144:G144))</f>
        <v/>
      </c>
      <c r="K144" s="12" t="str">
        <f aca="false">IF(OR(J144="",I144=""),"",IF(MIN(D144:G144)&gt;=I144,"Add load (smallest step)",IF(MAX(D144:G144)&lt;H144,"Below range: if again, drop 5–10%","Same load, add reps")))</f>
        <v/>
      </c>
      <c r="L144" s="20"/>
      <c r="M144" s="11" t="str">
        <f aca="false">IF(OR(L144="",C144="",H144="",C144=0),"",MAX(H144,ROUNDUP(30*((L144/C144)*(1+H144/30)-1),0)))</f>
        <v/>
      </c>
    </row>
    <row r="145" customFormat="false" ht="15" hidden="false" customHeight="false" outlineLevel="0" collapsed="false">
      <c r="A145" s="51"/>
      <c r="B145" s="54"/>
      <c r="C145" s="20"/>
      <c r="D145" s="20"/>
      <c r="E145" s="20"/>
      <c r="F145" s="20"/>
      <c r="G145" s="20"/>
      <c r="H145" s="11" t="str">
        <f aca="false">IF(B145="","",IFERROR(INDEX(Program!$H$2:$H$75,MATCH(B145,Program!$D$2:$D$75,0)),""))</f>
        <v/>
      </c>
      <c r="I145" s="11" t="str">
        <f aca="false">IF(B145="","",IFERROR(INDEX(Program!$I$2:$I$75,MATCH(B145,Program!$D$2:$D$75,0)),""))</f>
        <v/>
      </c>
      <c r="J145" s="11" t="str">
        <f aca="false">IF(COUNT(D145:G145)=0,"",COUNT(D145:G145))</f>
        <v/>
      </c>
      <c r="K145" s="12" t="str">
        <f aca="false">IF(OR(J145="",I145=""),"",IF(MIN(D145:G145)&gt;=I145,"Add load (smallest step)",IF(MAX(D145:G145)&lt;H145,"Below range: if again, drop 5–10%","Same load, add reps")))</f>
        <v/>
      </c>
      <c r="L145" s="20"/>
      <c r="M145" s="11" t="str">
        <f aca="false">IF(OR(L145="",C145="",H145="",C145=0),"",MAX(H145,ROUNDUP(30*((L145/C145)*(1+H145/30)-1),0)))</f>
        <v/>
      </c>
    </row>
    <row r="146" customFormat="false" ht="15" hidden="false" customHeight="false" outlineLevel="0" collapsed="false">
      <c r="A146" s="51"/>
      <c r="B146" s="54"/>
      <c r="C146" s="20"/>
      <c r="D146" s="20"/>
      <c r="E146" s="20"/>
      <c r="F146" s="20"/>
      <c r="G146" s="20"/>
      <c r="H146" s="11" t="str">
        <f aca="false">IF(B146="","",IFERROR(INDEX(Program!$H$2:$H$75,MATCH(B146,Program!$D$2:$D$75,0)),""))</f>
        <v/>
      </c>
      <c r="I146" s="11" t="str">
        <f aca="false">IF(B146="","",IFERROR(INDEX(Program!$I$2:$I$75,MATCH(B146,Program!$D$2:$D$75,0)),""))</f>
        <v/>
      </c>
      <c r="J146" s="11" t="str">
        <f aca="false">IF(COUNT(D146:G146)=0,"",COUNT(D146:G146))</f>
        <v/>
      </c>
      <c r="K146" s="12" t="str">
        <f aca="false">IF(OR(J146="",I146=""),"",IF(MIN(D146:G146)&gt;=I146,"Add load (smallest step)",IF(MAX(D146:G146)&lt;H146,"Below range: if again, drop 5–10%","Same load, add reps")))</f>
        <v/>
      </c>
      <c r="L146" s="20"/>
      <c r="M146" s="11" t="str">
        <f aca="false">IF(OR(L146="",C146="",H146="",C146=0),"",MAX(H146,ROUNDUP(30*((L146/C146)*(1+H146/30)-1),0)))</f>
        <v/>
      </c>
    </row>
    <row r="147" customFormat="false" ht="15" hidden="false" customHeight="false" outlineLevel="0" collapsed="false">
      <c r="A147" s="51"/>
      <c r="B147" s="54"/>
      <c r="C147" s="20"/>
      <c r="D147" s="20"/>
      <c r="E147" s="20"/>
      <c r="F147" s="20"/>
      <c r="G147" s="20"/>
      <c r="H147" s="11" t="str">
        <f aca="false">IF(B147="","",IFERROR(INDEX(Program!$H$2:$H$75,MATCH(B147,Program!$D$2:$D$75,0)),""))</f>
        <v/>
      </c>
      <c r="I147" s="11" t="str">
        <f aca="false">IF(B147="","",IFERROR(INDEX(Program!$I$2:$I$75,MATCH(B147,Program!$D$2:$D$75,0)),""))</f>
        <v/>
      </c>
      <c r="J147" s="11" t="str">
        <f aca="false">IF(COUNT(D147:G147)=0,"",COUNT(D147:G147))</f>
        <v/>
      </c>
      <c r="K147" s="12" t="str">
        <f aca="false">IF(OR(J147="",I147=""),"",IF(MIN(D147:G147)&gt;=I147,"Add load (smallest step)",IF(MAX(D147:G147)&lt;H147,"Below range: if again, drop 5–10%","Same load, add reps")))</f>
        <v/>
      </c>
      <c r="L147" s="20"/>
      <c r="M147" s="11" t="str">
        <f aca="false">IF(OR(L147="",C147="",H147="",C147=0),"",MAX(H147,ROUNDUP(30*((L147/C147)*(1+H147/30)-1),0)))</f>
        <v/>
      </c>
    </row>
    <row r="148" customFormat="false" ht="15" hidden="false" customHeight="false" outlineLevel="0" collapsed="false">
      <c r="A148" s="51"/>
      <c r="B148" s="54"/>
      <c r="C148" s="20"/>
      <c r="D148" s="20"/>
      <c r="E148" s="20"/>
      <c r="F148" s="20"/>
      <c r="G148" s="20"/>
      <c r="H148" s="11" t="str">
        <f aca="false">IF(B148="","",IFERROR(INDEX(Program!$H$2:$H$75,MATCH(B148,Program!$D$2:$D$75,0)),""))</f>
        <v/>
      </c>
      <c r="I148" s="11" t="str">
        <f aca="false">IF(B148="","",IFERROR(INDEX(Program!$I$2:$I$75,MATCH(B148,Program!$D$2:$D$75,0)),""))</f>
        <v/>
      </c>
      <c r="J148" s="11" t="str">
        <f aca="false">IF(COUNT(D148:G148)=0,"",COUNT(D148:G148))</f>
        <v/>
      </c>
      <c r="K148" s="12" t="str">
        <f aca="false">IF(OR(J148="",I148=""),"",IF(MIN(D148:G148)&gt;=I148,"Add load (smallest step)",IF(MAX(D148:G148)&lt;H148,"Below range: if again, drop 5–10%","Same load, add reps")))</f>
        <v/>
      </c>
      <c r="L148" s="20"/>
      <c r="M148" s="11" t="str">
        <f aca="false">IF(OR(L148="",C148="",H148="",C148=0),"",MAX(H148,ROUNDUP(30*((L148/C148)*(1+H148/30)-1),0)))</f>
        <v/>
      </c>
    </row>
    <row r="149" customFormat="false" ht="15" hidden="false" customHeight="false" outlineLevel="0" collapsed="false">
      <c r="A149" s="51"/>
      <c r="B149" s="54"/>
      <c r="C149" s="20"/>
      <c r="D149" s="20"/>
      <c r="E149" s="20"/>
      <c r="F149" s="20"/>
      <c r="G149" s="20"/>
      <c r="H149" s="11" t="str">
        <f aca="false">IF(B149="","",IFERROR(INDEX(Program!$H$2:$H$75,MATCH(B149,Program!$D$2:$D$75,0)),""))</f>
        <v/>
      </c>
      <c r="I149" s="11" t="str">
        <f aca="false">IF(B149="","",IFERROR(INDEX(Program!$I$2:$I$75,MATCH(B149,Program!$D$2:$D$75,0)),""))</f>
        <v/>
      </c>
      <c r="J149" s="11" t="str">
        <f aca="false">IF(COUNT(D149:G149)=0,"",COUNT(D149:G149))</f>
        <v/>
      </c>
      <c r="K149" s="12" t="str">
        <f aca="false">IF(OR(J149="",I149=""),"",IF(MIN(D149:G149)&gt;=I149,"Add load (smallest step)",IF(MAX(D149:G149)&lt;H149,"Below range: if again, drop 5–10%","Same load, add reps")))</f>
        <v/>
      </c>
      <c r="L149" s="20"/>
      <c r="M149" s="11" t="str">
        <f aca="false">IF(OR(L149="",C149="",H149="",C149=0),"",MAX(H149,ROUNDUP(30*((L149/C149)*(1+H149/30)-1),0)))</f>
        <v/>
      </c>
    </row>
    <row r="150" customFormat="false" ht="15" hidden="false" customHeight="false" outlineLevel="0" collapsed="false">
      <c r="A150" s="51"/>
      <c r="B150" s="54"/>
      <c r="C150" s="20"/>
      <c r="D150" s="20"/>
      <c r="E150" s="20"/>
      <c r="F150" s="20"/>
      <c r="G150" s="20"/>
      <c r="H150" s="11" t="str">
        <f aca="false">IF(B150="","",IFERROR(INDEX(Program!$H$2:$H$75,MATCH(B150,Program!$D$2:$D$75,0)),""))</f>
        <v/>
      </c>
      <c r="I150" s="11" t="str">
        <f aca="false">IF(B150="","",IFERROR(INDEX(Program!$I$2:$I$75,MATCH(B150,Program!$D$2:$D$75,0)),""))</f>
        <v/>
      </c>
      <c r="J150" s="11" t="str">
        <f aca="false">IF(COUNT(D150:G150)=0,"",COUNT(D150:G150))</f>
        <v/>
      </c>
      <c r="K150" s="12" t="str">
        <f aca="false">IF(OR(J150="",I150=""),"",IF(MIN(D150:G150)&gt;=I150,"Add load (smallest step)",IF(MAX(D150:G150)&lt;H150,"Below range: if again, drop 5–10%","Same load, add reps")))</f>
        <v/>
      </c>
      <c r="L150" s="20"/>
      <c r="M150" s="11" t="str">
        <f aca="false">IF(OR(L150="",C150="",H150="",C150=0),"",MAX(H150,ROUNDUP(30*((L150/C150)*(1+H150/30)-1),0)))</f>
        <v/>
      </c>
    </row>
    <row r="151" customFormat="false" ht="15" hidden="false" customHeight="false" outlineLevel="0" collapsed="false">
      <c r="A151" s="51"/>
      <c r="B151" s="54"/>
      <c r="C151" s="20"/>
      <c r="D151" s="20"/>
      <c r="E151" s="20"/>
      <c r="F151" s="20"/>
      <c r="G151" s="20"/>
      <c r="H151" s="11" t="str">
        <f aca="false">IF(B151="","",IFERROR(INDEX(Program!$H$2:$H$75,MATCH(B151,Program!$D$2:$D$75,0)),""))</f>
        <v/>
      </c>
      <c r="I151" s="11" t="str">
        <f aca="false">IF(B151="","",IFERROR(INDEX(Program!$I$2:$I$75,MATCH(B151,Program!$D$2:$D$75,0)),""))</f>
        <v/>
      </c>
      <c r="J151" s="11" t="str">
        <f aca="false">IF(COUNT(D151:G151)=0,"",COUNT(D151:G151))</f>
        <v/>
      </c>
      <c r="K151" s="12" t="str">
        <f aca="false">IF(OR(J151="",I151=""),"",IF(MIN(D151:G151)&gt;=I151,"Add load (smallest step)",IF(MAX(D151:G151)&lt;H151,"Below range: if again, drop 5–10%","Same load, add reps")))</f>
        <v/>
      </c>
      <c r="L151" s="20"/>
      <c r="M151" s="11" t="str">
        <f aca="false">IF(OR(L151="",C151="",H151="",C151=0),"",MAX(H151,ROUNDUP(30*((L151/C151)*(1+H151/30)-1),0)))</f>
        <v/>
      </c>
    </row>
    <row r="152" customFormat="false" ht="15" hidden="false" customHeight="false" outlineLevel="0" collapsed="false">
      <c r="A152" s="51"/>
      <c r="B152" s="54"/>
      <c r="C152" s="20"/>
      <c r="D152" s="20"/>
      <c r="E152" s="20"/>
      <c r="F152" s="20"/>
      <c r="G152" s="20"/>
      <c r="H152" s="11" t="str">
        <f aca="false">IF(B152="","",IFERROR(INDEX(Program!$H$2:$H$75,MATCH(B152,Program!$D$2:$D$75,0)),""))</f>
        <v/>
      </c>
      <c r="I152" s="11" t="str">
        <f aca="false">IF(B152="","",IFERROR(INDEX(Program!$I$2:$I$75,MATCH(B152,Program!$D$2:$D$75,0)),""))</f>
        <v/>
      </c>
      <c r="J152" s="11" t="str">
        <f aca="false">IF(COUNT(D152:G152)=0,"",COUNT(D152:G152))</f>
        <v/>
      </c>
      <c r="K152" s="12" t="str">
        <f aca="false">IF(OR(J152="",I152=""),"",IF(MIN(D152:G152)&gt;=I152,"Add load (smallest step)",IF(MAX(D152:G152)&lt;H152,"Below range: if again, drop 5–10%","Same load, add reps")))</f>
        <v/>
      </c>
      <c r="L152" s="20"/>
      <c r="M152" s="11" t="str">
        <f aca="false">IF(OR(L152="",C152="",H152="",C152=0),"",MAX(H152,ROUNDUP(30*((L152/C152)*(1+H152/30)-1),0)))</f>
        <v/>
      </c>
    </row>
    <row r="153" customFormat="false" ht="15" hidden="false" customHeight="false" outlineLevel="0" collapsed="false">
      <c r="A153" s="51"/>
      <c r="B153" s="54"/>
      <c r="C153" s="20"/>
      <c r="D153" s="20"/>
      <c r="E153" s="20"/>
      <c r="F153" s="20"/>
      <c r="G153" s="20"/>
      <c r="H153" s="11" t="str">
        <f aca="false">IF(B153="","",IFERROR(INDEX(Program!$H$2:$H$75,MATCH(B153,Program!$D$2:$D$75,0)),""))</f>
        <v/>
      </c>
      <c r="I153" s="11" t="str">
        <f aca="false">IF(B153="","",IFERROR(INDEX(Program!$I$2:$I$75,MATCH(B153,Program!$D$2:$D$75,0)),""))</f>
        <v/>
      </c>
      <c r="J153" s="11" t="str">
        <f aca="false">IF(COUNT(D153:G153)=0,"",COUNT(D153:G153))</f>
        <v/>
      </c>
      <c r="K153" s="12" t="str">
        <f aca="false">IF(OR(J153="",I153=""),"",IF(MIN(D153:G153)&gt;=I153,"Add load (smallest step)",IF(MAX(D153:G153)&lt;H153,"Below range: if again, drop 5–10%","Same load, add reps")))</f>
        <v/>
      </c>
      <c r="L153" s="20"/>
      <c r="M153" s="11" t="str">
        <f aca="false">IF(OR(L153="",C153="",H153="",C153=0),"",MAX(H153,ROUNDUP(30*((L153/C153)*(1+H153/30)-1),0)))</f>
        <v/>
      </c>
    </row>
    <row r="154" customFormat="false" ht="15" hidden="false" customHeight="false" outlineLevel="0" collapsed="false">
      <c r="A154" s="51"/>
      <c r="B154" s="54"/>
      <c r="C154" s="20"/>
      <c r="D154" s="20"/>
      <c r="E154" s="20"/>
      <c r="F154" s="20"/>
      <c r="G154" s="20"/>
      <c r="H154" s="11" t="str">
        <f aca="false">IF(B154="","",IFERROR(INDEX(Program!$H$2:$H$75,MATCH(B154,Program!$D$2:$D$75,0)),""))</f>
        <v/>
      </c>
      <c r="I154" s="11" t="str">
        <f aca="false">IF(B154="","",IFERROR(INDEX(Program!$I$2:$I$75,MATCH(B154,Program!$D$2:$D$75,0)),""))</f>
        <v/>
      </c>
      <c r="J154" s="11" t="str">
        <f aca="false">IF(COUNT(D154:G154)=0,"",COUNT(D154:G154))</f>
        <v/>
      </c>
      <c r="K154" s="12" t="str">
        <f aca="false">IF(OR(J154="",I154=""),"",IF(MIN(D154:G154)&gt;=I154,"Add load (smallest step)",IF(MAX(D154:G154)&lt;H154,"Below range: if again, drop 5–10%","Same load, add reps")))</f>
        <v/>
      </c>
      <c r="L154" s="20"/>
      <c r="M154" s="11" t="str">
        <f aca="false">IF(OR(L154="",C154="",H154="",C154=0),"",MAX(H154,ROUNDUP(30*((L154/C154)*(1+H154/30)-1),0)))</f>
        <v/>
      </c>
    </row>
    <row r="155" customFormat="false" ht="15" hidden="false" customHeight="false" outlineLevel="0" collapsed="false">
      <c r="A155" s="51"/>
      <c r="B155" s="54"/>
      <c r="C155" s="20"/>
      <c r="D155" s="20"/>
      <c r="E155" s="20"/>
      <c r="F155" s="20"/>
      <c r="G155" s="20"/>
      <c r="H155" s="11" t="str">
        <f aca="false">IF(B155="","",IFERROR(INDEX(Program!$H$2:$H$75,MATCH(B155,Program!$D$2:$D$75,0)),""))</f>
        <v/>
      </c>
      <c r="I155" s="11" t="str">
        <f aca="false">IF(B155="","",IFERROR(INDEX(Program!$I$2:$I$75,MATCH(B155,Program!$D$2:$D$75,0)),""))</f>
        <v/>
      </c>
      <c r="J155" s="11" t="str">
        <f aca="false">IF(COUNT(D155:G155)=0,"",COUNT(D155:G155))</f>
        <v/>
      </c>
      <c r="K155" s="12" t="str">
        <f aca="false">IF(OR(J155="",I155=""),"",IF(MIN(D155:G155)&gt;=I155,"Add load (smallest step)",IF(MAX(D155:G155)&lt;H155,"Below range: if again, drop 5–10%","Same load, add reps")))</f>
        <v/>
      </c>
      <c r="L155" s="20"/>
      <c r="M155" s="11" t="str">
        <f aca="false">IF(OR(L155="",C155="",H155="",C155=0),"",MAX(H155,ROUNDUP(30*((L155/C155)*(1+H155/30)-1),0)))</f>
        <v/>
      </c>
    </row>
    <row r="156" customFormat="false" ht="15" hidden="false" customHeight="false" outlineLevel="0" collapsed="false">
      <c r="A156" s="51"/>
      <c r="B156" s="54"/>
      <c r="C156" s="20"/>
      <c r="D156" s="20"/>
      <c r="E156" s="20"/>
      <c r="F156" s="20"/>
      <c r="G156" s="20"/>
      <c r="H156" s="11" t="str">
        <f aca="false">IF(B156="","",IFERROR(INDEX(Program!$H$2:$H$75,MATCH(B156,Program!$D$2:$D$75,0)),""))</f>
        <v/>
      </c>
      <c r="I156" s="11" t="str">
        <f aca="false">IF(B156="","",IFERROR(INDEX(Program!$I$2:$I$75,MATCH(B156,Program!$D$2:$D$75,0)),""))</f>
        <v/>
      </c>
      <c r="J156" s="11" t="str">
        <f aca="false">IF(COUNT(D156:G156)=0,"",COUNT(D156:G156))</f>
        <v/>
      </c>
      <c r="K156" s="12" t="str">
        <f aca="false">IF(OR(J156="",I156=""),"",IF(MIN(D156:G156)&gt;=I156,"Add load (smallest step)",IF(MAX(D156:G156)&lt;H156,"Below range: if again, drop 5–10%","Same load, add reps")))</f>
        <v/>
      </c>
      <c r="L156" s="20"/>
      <c r="M156" s="11" t="str">
        <f aca="false">IF(OR(L156="",C156="",H156="",C156=0),"",MAX(H156,ROUNDUP(30*((L156/C156)*(1+H156/30)-1),0)))</f>
        <v/>
      </c>
    </row>
    <row r="157" customFormat="false" ht="15" hidden="false" customHeight="false" outlineLevel="0" collapsed="false">
      <c r="A157" s="51"/>
      <c r="B157" s="54"/>
      <c r="C157" s="20"/>
      <c r="D157" s="20"/>
      <c r="E157" s="20"/>
      <c r="F157" s="20"/>
      <c r="G157" s="20"/>
      <c r="H157" s="11" t="str">
        <f aca="false">IF(B157="","",IFERROR(INDEX(Program!$H$2:$H$75,MATCH(B157,Program!$D$2:$D$75,0)),""))</f>
        <v/>
      </c>
      <c r="I157" s="11" t="str">
        <f aca="false">IF(B157="","",IFERROR(INDEX(Program!$I$2:$I$75,MATCH(B157,Program!$D$2:$D$75,0)),""))</f>
        <v/>
      </c>
      <c r="J157" s="11" t="str">
        <f aca="false">IF(COUNT(D157:G157)=0,"",COUNT(D157:G157))</f>
        <v/>
      </c>
      <c r="K157" s="12" t="str">
        <f aca="false">IF(OR(J157="",I157=""),"",IF(MIN(D157:G157)&gt;=I157,"Add load (smallest step)",IF(MAX(D157:G157)&lt;H157,"Below range: if again, drop 5–10%","Same load, add reps")))</f>
        <v/>
      </c>
      <c r="L157" s="20"/>
      <c r="M157" s="11" t="str">
        <f aca="false">IF(OR(L157="",C157="",H157="",C157=0),"",MAX(H157,ROUNDUP(30*((L157/C157)*(1+H157/30)-1),0)))</f>
        <v/>
      </c>
    </row>
    <row r="158" customFormat="false" ht="15" hidden="false" customHeight="false" outlineLevel="0" collapsed="false">
      <c r="A158" s="51"/>
      <c r="B158" s="54"/>
      <c r="C158" s="20"/>
      <c r="D158" s="20"/>
      <c r="E158" s="20"/>
      <c r="F158" s="20"/>
      <c r="G158" s="20"/>
      <c r="H158" s="11" t="str">
        <f aca="false">IF(B158="","",IFERROR(INDEX(Program!$H$2:$H$75,MATCH(B158,Program!$D$2:$D$75,0)),""))</f>
        <v/>
      </c>
      <c r="I158" s="11" t="str">
        <f aca="false">IF(B158="","",IFERROR(INDEX(Program!$I$2:$I$75,MATCH(B158,Program!$D$2:$D$75,0)),""))</f>
        <v/>
      </c>
      <c r="J158" s="11" t="str">
        <f aca="false">IF(COUNT(D158:G158)=0,"",COUNT(D158:G158))</f>
        <v/>
      </c>
      <c r="K158" s="12" t="str">
        <f aca="false">IF(OR(J158="",I158=""),"",IF(MIN(D158:G158)&gt;=I158,"Add load (smallest step)",IF(MAX(D158:G158)&lt;H158,"Below range: if again, drop 5–10%","Same load, add reps")))</f>
        <v/>
      </c>
      <c r="L158" s="20"/>
      <c r="M158" s="11" t="str">
        <f aca="false">IF(OR(L158="",C158="",H158="",C158=0),"",MAX(H158,ROUNDUP(30*((L158/C158)*(1+H158/30)-1),0)))</f>
        <v/>
      </c>
    </row>
    <row r="159" customFormat="false" ht="15" hidden="false" customHeight="false" outlineLevel="0" collapsed="false">
      <c r="A159" s="51"/>
      <c r="B159" s="54"/>
      <c r="C159" s="20"/>
      <c r="D159" s="20"/>
      <c r="E159" s="20"/>
      <c r="F159" s="20"/>
      <c r="G159" s="20"/>
      <c r="H159" s="11" t="str">
        <f aca="false">IF(B159="","",IFERROR(INDEX(Program!$H$2:$H$75,MATCH(B159,Program!$D$2:$D$75,0)),""))</f>
        <v/>
      </c>
      <c r="I159" s="11" t="str">
        <f aca="false">IF(B159="","",IFERROR(INDEX(Program!$I$2:$I$75,MATCH(B159,Program!$D$2:$D$75,0)),""))</f>
        <v/>
      </c>
      <c r="J159" s="11" t="str">
        <f aca="false">IF(COUNT(D159:G159)=0,"",COUNT(D159:G159))</f>
        <v/>
      </c>
      <c r="K159" s="12" t="str">
        <f aca="false">IF(OR(J159="",I159=""),"",IF(MIN(D159:G159)&gt;=I159,"Add load (smallest step)",IF(MAX(D159:G159)&lt;H159,"Below range: if again, drop 5–10%","Same load, add reps")))</f>
        <v/>
      </c>
      <c r="L159" s="20"/>
      <c r="M159" s="11" t="str">
        <f aca="false">IF(OR(L159="",C159="",H159="",C159=0),"",MAX(H159,ROUNDUP(30*((L159/C159)*(1+H159/30)-1),0)))</f>
        <v/>
      </c>
    </row>
    <row r="160" customFormat="false" ht="15" hidden="false" customHeight="false" outlineLevel="0" collapsed="false">
      <c r="A160" s="51"/>
      <c r="B160" s="54"/>
      <c r="C160" s="20"/>
      <c r="D160" s="20"/>
      <c r="E160" s="20"/>
      <c r="F160" s="20"/>
      <c r="G160" s="20"/>
      <c r="H160" s="11" t="str">
        <f aca="false">IF(B160="","",IFERROR(INDEX(Program!$H$2:$H$75,MATCH(B160,Program!$D$2:$D$75,0)),""))</f>
        <v/>
      </c>
      <c r="I160" s="11" t="str">
        <f aca="false">IF(B160="","",IFERROR(INDEX(Program!$I$2:$I$75,MATCH(B160,Program!$D$2:$D$75,0)),""))</f>
        <v/>
      </c>
      <c r="J160" s="11" t="str">
        <f aca="false">IF(COUNT(D160:G160)=0,"",COUNT(D160:G160))</f>
        <v/>
      </c>
      <c r="K160" s="12" t="str">
        <f aca="false">IF(OR(J160="",I160=""),"",IF(MIN(D160:G160)&gt;=I160,"Add load (smallest step)",IF(MAX(D160:G160)&lt;H160,"Below range: if again, drop 5–10%","Same load, add reps")))</f>
        <v/>
      </c>
      <c r="L160" s="20"/>
      <c r="M160" s="11" t="str">
        <f aca="false">IF(OR(L160="",C160="",H160="",C160=0),"",MAX(H160,ROUNDUP(30*((L160/C160)*(1+H160/30)-1),0)))</f>
        <v/>
      </c>
    </row>
    <row r="161" customFormat="false" ht="15" hidden="false" customHeight="false" outlineLevel="0" collapsed="false">
      <c r="A161" s="51"/>
      <c r="B161" s="54"/>
      <c r="C161" s="20"/>
      <c r="D161" s="20"/>
      <c r="E161" s="20"/>
      <c r="F161" s="20"/>
      <c r="G161" s="20"/>
      <c r="H161" s="11" t="str">
        <f aca="false">IF(B161="","",IFERROR(INDEX(Program!$H$2:$H$75,MATCH(B161,Program!$D$2:$D$75,0)),""))</f>
        <v/>
      </c>
      <c r="I161" s="11" t="str">
        <f aca="false">IF(B161="","",IFERROR(INDEX(Program!$I$2:$I$75,MATCH(B161,Program!$D$2:$D$75,0)),""))</f>
        <v/>
      </c>
      <c r="J161" s="11" t="str">
        <f aca="false">IF(COUNT(D161:G161)=0,"",COUNT(D161:G161))</f>
        <v/>
      </c>
      <c r="K161" s="12" t="str">
        <f aca="false">IF(OR(J161="",I161=""),"",IF(MIN(D161:G161)&gt;=I161,"Add load (smallest step)",IF(MAX(D161:G161)&lt;H161,"Below range: if again, drop 5–10%","Same load, add reps")))</f>
        <v/>
      </c>
      <c r="L161" s="20"/>
      <c r="M161" s="11" t="str">
        <f aca="false">IF(OR(L161="",C161="",H161="",C161=0),"",MAX(H161,ROUNDUP(30*((L161/C161)*(1+H161/30)-1),0)))</f>
        <v/>
      </c>
    </row>
    <row r="162" customFormat="false" ht="15" hidden="false" customHeight="false" outlineLevel="0" collapsed="false">
      <c r="A162" s="51"/>
      <c r="B162" s="54"/>
      <c r="C162" s="20"/>
      <c r="D162" s="20"/>
      <c r="E162" s="20"/>
      <c r="F162" s="20"/>
      <c r="G162" s="20"/>
      <c r="H162" s="11" t="str">
        <f aca="false">IF(B162="","",IFERROR(INDEX(Program!$H$2:$H$75,MATCH(B162,Program!$D$2:$D$75,0)),""))</f>
        <v/>
      </c>
      <c r="I162" s="11" t="str">
        <f aca="false">IF(B162="","",IFERROR(INDEX(Program!$I$2:$I$75,MATCH(B162,Program!$D$2:$D$75,0)),""))</f>
        <v/>
      </c>
      <c r="J162" s="11" t="str">
        <f aca="false">IF(COUNT(D162:G162)=0,"",COUNT(D162:G162))</f>
        <v/>
      </c>
      <c r="K162" s="12" t="str">
        <f aca="false">IF(OR(J162="",I162=""),"",IF(MIN(D162:G162)&gt;=I162,"Add load (smallest step)",IF(MAX(D162:G162)&lt;H162,"Below range: if again, drop 5–10%","Same load, add reps")))</f>
        <v/>
      </c>
      <c r="L162" s="20"/>
      <c r="M162" s="11" t="str">
        <f aca="false">IF(OR(L162="",C162="",H162="",C162=0),"",MAX(H162,ROUNDUP(30*((L162/C162)*(1+H162/30)-1),0)))</f>
        <v/>
      </c>
    </row>
    <row r="163" customFormat="false" ht="15" hidden="false" customHeight="false" outlineLevel="0" collapsed="false">
      <c r="A163" s="51"/>
      <c r="B163" s="54"/>
      <c r="C163" s="20"/>
      <c r="D163" s="20"/>
      <c r="E163" s="20"/>
      <c r="F163" s="20"/>
      <c r="G163" s="20"/>
      <c r="H163" s="11" t="str">
        <f aca="false">IF(B163="","",IFERROR(INDEX(Program!$H$2:$H$75,MATCH(B163,Program!$D$2:$D$75,0)),""))</f>
        <v/>
      </c>
      <c r="I163" s="11" t="str">
        <f aca="false">IF(B163="","",IFERROR(INDEX(Program!$I$2:$I$75,MATCH(B163,Program!$D$2:$D$75,0)),""))</f>
        <v/>
      </c>
      <c r="J163" s="11" t="str">
        <f aca="false">IF(COUNT(D163:G163)=0,"",COUNT(D163:G163))</f>
        <v/>
      </c>
      <c r="K163" s="12" t="str">
        <f aca="false">IF(OR(J163="",I163=""),"",IF(MIN(D163:G163)&gt;=I163,"Add load (smallest step)",IF(MAX(D163:G163)&lt;H163,"Below range: if again, drop 5–10%","Same load, add reps")))</f>
        <v/>
      </c>
      <c r="L163" s="20"/>
      <c r="M163" s="11" t="str">
        <f aca="false">IF(OR(L163="",C163="",H163="",C163=0),"",MAX(H163,ROUNDUP(30*((L163/C163)*(1+H163/30)-1),0)))</f>
        <v/>
      </c>
    </row>
    <row r="164" customFormat="false" ht="15" hidden="false" customHeight="false" outlineLevel="0" collapsed="false">
      <c r="A164" s="51"/>
      <c r="B164" s="54"/>
      <c r="C164" s="20"/>
      <c r="D164" s="20"/>
      <c r="E164" s="20"/>
      <c r="F164" s="20"/>
      <c r="G164" s="20"/>
      <c r="H164" s="11" t="str">
        <f aca="false">IF(B164="","",IFERROR(INDEX(Program!$H$2:$H$75,MATCH(B164,Program!$D$2:$D$75,0)),""))</f>
        <v/>
      </c>
      <c r="I164" s="11" t="str">
        <f aca="false">IF(B164="","",IFERROR(INDEX(Program!$I$2:$I$75,MATCH(B164,Program!$D$2:$D$75,0)),""))</f>
        <v/>
      </c>
      <c r="J164" s="11" t="str">
        <f aca="false">IF(COUNT(D164:G164)=0,"",COUNT(D164:G164))</f>
        <v/>
      </c>
      <c r="K164" s="12" t="str">
        <f aca="false">IF(OR(J164="",I164=""),"",IF(MIN(D164:G164)&gt;=I164,"Add load (smallest step)",IF(MAX(D164:G164)&lt;H164,"Below range: if again, drop 5–10%","Same load, add reps")))</f>
        <v/>
      </c>
      <c r="L164" s="20"/>
      <c r="M164" s="11" t="str">
        <f aca="false">IF(OR(L164="",C164="",H164="",C164=0),"",MAX(H164,ROUNDUP(30*((L164/C164)*(1+H164/30)-1),0)))</f>
        <v/>
      </c>
    </row>
    <row r="165" customFormat="false" ht="15" hidden="false" customHeight="false" outlineLevel="0" collapsed="false">
      <c r="A165" s="51"/>
      <c r="B165" s="54"/>
      <c r="C165" s="20"/>
      <c r="D165" s="20"/>
      <c r="E165" s="20"/>
      <c r="F165" s="20"/>
      <c r="G165" s="20"/>
      <c r="H165" s="11" t="str">
        <f aca="false">IF(B165="","",IFERROR(INDEX(Program!$H$2:$H$75,MATCH(B165,Program!$D$2:$D$75,0)),""))</f>
        <v/>
      </c>
      <c r="I165" s="11" t="str">
        <f aca="false">IF(B165="","",IFERROR(INDEX(Program!$I$2:$I$75,MATCH(B165,Program!$D$2:$D$75,0)),""))</f>
        <v/>
      </c>
      <c r="J165" s="11" t="str">
        <f aca="false">IF(COUNT(D165:G165)=0,"",COUNT(D165:G165))</f>
        <v/>
      </c>
      <c r="K165" s="12" t="str">
        <f aca="false">IF(OR(J165="",I165=""),"",IF(MIN(D165:G165)&gt;=I165,"Add load (smallest step)",IF(MAX(D165:G165)&lt;H165,"Below range: if again, drop 5–10%","Same load, add reps")))</f>
        <v/>
      </c>
      <c r="L165" s="20"/>
      <c r="M165" s="11" t="str">
        <f aca="false">IF(OR(L165="",C165="",H165="",C165=0),"",MAX(H165,ROUNDUP(30*((L165/C165)*(1+H165/30)-1),0)))</f>
        <v/>
      </c>
    </row>
    <row r="166" customFormat="false" ht="15" hidden="false" customHeight="false" outlineLevel="0" collapsed="false">
      <c r="A166" s="51"/>
      <c r="B166" s="54"/>
      <c r="C166" s="20"/>
      <c r="D166" s="20"/>
      <c r="E166" s="20"/>
      <c r="F166" s="20"/>
      <c r="G166" s="20"/>
      <c r="H166" s="11" t="str">
        <f aca="false">IF(B166="","",IFERROR(INDEX(Program!$H$2:$H$75,MATCH(B166,Program!$D$2:$D$75,0)),""))</f>
        <v/>
      </c>
      <c r="I166" s="11" t="str">
        <f aca="false">IF(B166="","",IFERROR(INDEX(Program!$I$2:$I$75,MATCH(B166,Program!$D$2:$D$75,0)),""))</f>
        <v/>
      </c>
      <c r="J166" s="11" t="str">
        <f aca="false">IF(COUNT(D166:G166)=0,"",COUNT(D166:G166))</f>
        <v/>
      </c>
      <c r="K166" s="12" t="str">
        <f aca="false">IF(OR(J166="",I166=""),"",IF(MIN(D166:G166)&gt;=I166,"Add load (smallest step)",IF(MAX(D166:G166)&lt;H166,"Below range: if again, drop 5–10%","Same load, add reps")))</f>
        <v/>
      </c>
      <c r="L166" s="20"/>
      <c r="M166" s="11" t="str">
        <f aca="false">IF(OR(L166="",C166="",H166="",C166=0),"",MAX(H166,ROUNDUP(30*((L166/C166)*(1+H166/30)-1),0)))</f>
        <v/>
      </c>
    </row>
    <row r="167" customFormat="false" ht="15" hidden="false" customHeight="false" outlineLevel="0" collapsed="false">
      <c r="A167" s="51"/>
      <c r="B167" s="54"/>
      <c r="C167" s="20"/>
      <c r="D167" s="20"/>
      <c r="E167" s="20"/>
      <c r="F167" s="20"/>
      <c r="G167" s="20"/>
      <c r="H167" s="11" t="str">
        <f aca="false">IF(B167="","",IFERROR(INDEX(Program!$H$2:$H$75,MATCH(B167,Program!$D$2:$D$75,0)),""))</f>
        <v/>
      </c>
      <c r="I167" s="11" t="str">
        <f aca="false">IF(B167="","",IFERROR(INDEX(Program!$I$2:$I$75,MATCH(B167,Program!$D$2:$D$75,0)),""))</f>
        <v/>
      </c>
      <c r="J167" s="11" t="str">
        <f aca="false">IF(COUNT(D167:G167)=0,"",COUNT(D167:G167))</f>
        <v/>
      </c>
      <c r="K167" s="12" t="str">
        <f aca="false">IF(OR(J167="",I167=""),"",IF(MIN(D167:G167)&gt;=I167,"Add load (smallest step)",IF(MAX(D167:G167)&lt;H167,"Below range: if again, drop 5–10%","Same load, add reps")))</f>
        <v/>
      </c>
      <c r="L167" s="20"/>
      <c r="M167" s="11" t="str">
        <f aca="false">IF(OR(L167="",C167="",H167="",C167=0),"",MAX(H167,ROUNDUP(30*((L167/C167)*(1+H167/30)-1),0)))</f>
        <v/>
      </c>
    </row>
    <row r="168" customFormat="false" ht="15" hidden="false" customHeight="false" outlineLevel="0" collapsed="false">
      <c r="A168" s="51"/>
      <c r="B168" s="54"/>
      <c r="C168" s="20"/>
      <c r="D168" s="20"/>
      <c r="E168" s="20"/>
      <c r="F168" s="20"/>
      <c r="G168" s="20"/>
      <c r="H168" s="11" t="str">
        <f aca="false">IF(B168="","",IFERROR(INDEX(Program!$H$2:$H$75,MATCH(B168,Program!$D$2:$D$75,0)),""))</f>
        <v/>
      </c>
      <c r="I168" s="11" t="str">
        <f aca="false">IF(B168="","",IFERROR(INDEX(Program!$I$2:$I$75,MATCH(B168,Program!$D$2:$D$75,0)),""))</f>
        <v/>
      </c>
      <c r="J168" s="11" t="str">
        <f aca="false">IF(COUNT(D168:G168)=0,"",COUNT(D168:G168))</f>
        <v/>
      </c>
      <c r="K168" s="12" t="str">
        <f aca="false">IF(OR(J168="",I168=""),"",IF(MIN(D168:G168)&gt;=I168,"Add load (smallest step)",IF(MAX(D168:G168)&lt;H168,"Below range: if again, drop 5–10%","Same load, add reps")))</f>
        <v/>
      </c>
      <c r="L168" s="20"/>
      <c r="M168" s="11" t="str">
        <f aca="false">IF(OR(L168="",C168="",H168="",C168=0),"",MAX(H168,ROUNDUP(30*((L168/C168)*(1+H168/30)-1),0)))</f>
        <v/>
      </c>
    </row>
    <row r="169" customFormat="false" ht="15" hidden="false" customHeight="false" outlineLevel="0" collapsed="false">
      <c r="A169" s="51"/>
      <c r="B169" s="54"/>
      <c r="C169" s="20"/>
      <c r="D169" s="20"/>
      <c r="E169" s="20"/>
      <c r="F169" s="20"/>
      <c r="G169" s="20"/>
      <c r="H169" s="11" t="str">
        <f aca="false">IF(B169="","",IFERROR(INDEX(Program!$H$2:$H$75,MATCH(B169,Program!$D$2:$D$75,0)),""))</f>
        <v/>
      </c>
      <c r="I169" s="11" t="str">
        <f aca="false">IF(B169="","",IFERROR(INDEX(Program!$I$2:$I$75,MATCH(B169,Program!$D$2:$D$75,0)),""))</f>
        <v/>
      </c>
      <c r="J169" s="11" t="str">
        <f aca="false">IF(COUNT(D169:G169)=0,"",COUNT(D169:G169))</f>
        <v/>
      </c>
      <c r="K169" s="12" t="str">
        <f aca="false">IF(OR(J169="",I169=""),"",IF(MIN(D169:G169)&gt;=I169,"Add load (smallest step)",IF(MAX(D169:G169)&lt;H169,"Below range: if again, drop 5–10%","Same load, add reps")))</f>
        <v/>
      </c>
      <c r="L169" s="20"/>
      <c r="M169" s="11" t="str">
        <f aca="false">IF(OR(L169="",C169="",H169="",C169=0),"",MAX(H169,ROUNDUP(30*((L169/C169)*(1+H169/30)-1),0)))</f>
        <v/>
      </c>
    </row>
    <row r="170" customFormat="false" ht="15" hidden="false" customHeight="false" outlineLevel="0" collapsed="false">
      <c r="A170" s="51"/>
      <c r="B170" s="54"/>
      <c r="C170" s="20"/>
      <c r="D170" s="20"/>
      <c r="E170" s="20"/>
      <c r="F170" s="20"/>
      <c r="G170" s="20"/>
      <c r="H170" s="11" t="str">
        <f aca="false">IF(B170="","",IFERROR(INDEX(Program!$H$2:$H$75,MATCH(B170,Program!$D$2:$D$75,0)),""))</f>
        <v/>
      </c>
      <c r="I170" s="11" t="str">
        <f aca="false">IF(B170="","",IFERROR(INDEX(Program!$I$2:$I$75,MATCH(B170,Program!$D$2:$D$75,0)),""))</f>
        <v/>
      </c>
      <c r="J170" s="11" t="str">
        <f aca="false">IF(COUNT(D170:G170)=0,"",COUNT(D170:G170))</f>
        <v/>
      </c>
      <c r="K170" s="12" t="str">
        <f aca="false">IF(OR(J170="",I170=""),"",IF(MIN(D170:G170)&gt;=I170,"Add load (smallest step)",IF(MAX(D170:G170)&lt;H170,"Below range: if again, drop 5–10%","Same load, add reps")))</f>
        <v/>
      </c>
      <c r="L170" s="20"/>
      <c r="M170" s="11" t="str">
        <f aca="false">IF(OR(L170="",C170="",H170="",C170=0),"",MAX(H170,ROUNDUP(30*((L170/C170)*(1+H170/30)-1),0)))</f>
        <v/>
      </c>
    </row>
    <row r="171" customFormat="false" ht="15" hidden="false" customHeight="false" outlineLevel="0" collapsed="false">
      <c r="A171" s="51"/>
      <c r="B171" s="54"/>
      <c r="C171" s="20"/>
      <c r="D171" s="20"/>
      <c r="E171" s="20"/>
      <c r="F171" s="20"/>
      <c r="G171" s="20"/>
      <c r="H171" s="11" t="str">
        <f aca="false">IF(B171="","",IFERROR(INDEX(Program!$H$2:$H$75,MATCH(B171,Program!$D$2:$D$75,0)),""))</f>
        <v/>
      </c>
      <c r="I171" s="11" t="str">
        <f aca="false">IF(B171="","",IFERROR(INDEX(Program!$I$2:$I$75,MATCH(B171,Program!$D$2:$D$75,0)),""))</f>
        <v/>
      </c>
      <c r="J171" s="11" t="str">
        <f aca="false">IF(COUNT(D171:G171)=0,"",COUNT(D171:G171))</f>
        <v/>
      </c>
      <c r="K171" s="12" t="str">
        <f aca="false">IF(OR(J171="",I171=""),"",IF(MIN(D171:G171)&gt;=I171,"Add load (smallest step)",IF(MAX(D171:G171)&lt;H171,"Below range: if again, drop 5–10%","Same load, add reps")))</f>
        <v/>
      </c>
      <c r="L171" s="20"/>
      <c r="M171" s="11" t="str">
        <f aca="false">IF(OR(L171="",C171="",H171="",C171=0),"",MAX(H171,ROUNDUP(30*((L171/C171)*(1+H171/30)-1),0)))</f>
        <v/>
      </c>
    </row>
    <row r="172" customFormat="false" ht="15" hidden="false" customHeight="false" outlineLevel="0" collapsed="false">
      <c r="A172" s="51"/>
      <c r="B172" s="54"/>
      <c r="C172" s="20"/>
      <c r="D172" s="20"/>
      <c r="E172" s="20"/>
      <c r="F172" s="20"/>
      <c r="G172" s="20"/>
      <c r="H172" s="11" t="str">
        <f aca="false">IF(B172="","",IFERROR(INDEX(Program!$H$2:$H$75,MATCH(B172,Program!$D$2:$D$75,0)),""))</f>
        <v/>
      </c>
      <c r="I172" s="11" t="str">
        <f aca="false">IF(B172="","",IFERROR(INDEX(Program!$I$2:$I$75,MATCH(B172,Program!$D$2:$D$75,0)),""))</f>
        <v/>
      </c>
      <c r="J172" s="11" t="str">
        <f aca="false">IF(COUNT(D172:G172)=0,"",COUNT(D172:G172))</f>
        <v/>
      </c>
      <c r="K172" s="12" t="str">
        <f aca="false">IF(OR(J172="",I172=""),"",IF(MIN(D172:G172)&gt;=I172,"Add load (smallest step)",IF(MAX(D172:G172)&lt;H172,"Below range: if again, drop 5–10%","Same load, add reps")))</f>
        <v/>
      </c>
      <c r="L172" s="20"/>
      <c r="M172" s="11" t="str">
        <f aca="false">IF(OR(L172="",C172="",H172="",C172=0),"",MAX(H172,ROUNDUP(30*((L172/C172)*(1+H172/30)-1),0)))</f>
        <v/>
      </c>
    </row>
    <row r="173" customFormat="false" ht="15" hidden="false" customHeight="false" outlineLevel="0" collapsed="false">
      <c r="A173" s="51"/>
      <c r="B173" s="54"/>
      <c r="C173" s="20"/>
      <c r="D173" s="20"/>
      <c r="E173" s="20"/>
      <c r="F173" s="20"/>
      <c r="G173" s="20"/>
      <c r="H173" s="11" t="str">
        <f aca="false">IF(B173="","",IFERROR(INDEX(Program!$H$2:$H$75,MATCH(B173,Program!$D$2:$D$75,0)),""))</f>
        <v/>
      </c>
      <c r="I173" s="11" t="str">
        <f aca="false">IF(B173="","",IFERROR(INDEX(Program!$I$2:$I$75,MATCH(B173,Program!$D$2:$D$75,0)),""))</f>
        <v/>
      </c>
      <c r="J173" s="11" t="str">
        <f aca="false">IF(COUNT(D173:G173)=0,"",COUNT(D173:G173))</f>
        <v/>
      </c>
      <c r="K173" s="12" t="str">
        <f aca="false">IF(OR(J173="",I173=""),"",IF(MIN(D173:G173)&gt;=I173,"Add load (smallest step)",IF(MAX(D173:G173)&lt;H173,"Below range: if again, drop 5–10%","Same load, add reps")))</f>
        <v/>
      </c>
      <c r="L173" s="20"/>
      <c r="M173" s="11" t="str">
        <f aca="false">IF(OR(L173="",C173="",H173="",C173=0),"",MAX(H173,ROUNDUP(30*((L173/C173)*(1+H173/30)-1),0)))</f>
        <v/>
      </c>
    </row>
    <row r="174" customFormat="false" ht="15" hidden="false" customHeight="false" outlineLevel="0" collapsed="false">
      <c r="A174" s="51"/>
      <c r="B174" s="54"/>
      <c r="C174" s="20"/>
      <c r="D174" s="20"/>
      <c r="E174" s="20"/>
      <c r="F174" s="20"/>
      <c r="G174" s="20"/>
      <c r="H174" s="11" t="str">
        <f aca="false">IF(B174="","",IFERROR(INDEX(Program!$H$2:$H$75,MATCH(B174,Program!$D$2:$D$75,0)),""))</f>
        <v/>
      </c>
      <c r="I174" s="11" t="str">
        <f aca="false">IF(B174="","",IFERROR(INDEX(Program!$I$2:$I$75,MATCH(B174,Program!$D$2:$D$75,0)),""))</f>
        <v/>
      </c>
      <c r="J174" s="11" t="str">
        <f aca="false">IF(COUNT(D174:G174)=0,"",COUNT(D174:G174))</f>
        <v/>
      </c>
      <c r="K174" s="12" t="str">
        <f aca="false">IF(OR(J174="",I174=""),"",IF(MIN(D174:G174)&gt;=I174,"Add load (smallest step)",IF(MAX(D174:G174)&lt;H174,"Below range: if again, drop 5–10%","Same load, add reps")))</f>
        <v/>
      </c>
      <c r="L174" s="20"/>
      <c r="M174" s="11" t="str">
        <f aca="false">IF(OR(L174="",C174="",H174="",C174=0),"",MAX(H174,ROUNDUP(30*((L174/C174)*(1+H174/30)-1),0)))</f>
        <v/>
      </c>
    </row>
    <row r="175" customFormat="false" ht="15" hidden="false" customHeight="false" outlineLevel="0" collapsed="false">
      <c r="A175" s="51"/>
      <c r="B175" s="54"/>
      <c r="C175" s="20"/>
      <c r="D175" s="20"/>
      <c r="E175" s="20"/>
      <c r="F175" s="20"/>
      <c r="G175" s="20"/>
      <c r="H175" s="11" t="str">
        <f aca="false">IF(B175="","",IFERROR(INDEX(Program!$H$2:$H$75,MATCH(B175,Program!$D$2:$D$75,0)),""))</f>
        <v/>
      </c>
      <c r="I175" s="11" t="str">
        <f aca="false">IF(B175="","",IFERROR(INDEX(Program!$I$2:$I$75,MATCH(B175,Program!$D$2:$D$75,0)),""))</f>
        <v/>
      </c>
      <c r="J175" s="11" t="str">
        <f aca="false">IF(COUNT(D175:G175)=0,"",COUNT(D175:G175))</f>
        <v/>
      </c>
      <c r="K175" s="12" t="str">
        <f aca="false">IF(OR(J175="",I175=""),"",IF(MIN(D175:G175)&gt;=I175,"Add load (smallest step)",IF(MAX(D175:G175)&lt;H175,"Below range: if again, drop 5–10%","Same load, add reps")))</f>
        <v/>
      </c>
      <c r="L175" s="20"/>
      <c r="M175" s="11" t="str">
        <f aca="false">IF(OR(L175="",C175="",H175="",C175=0),"",MAX(H175,ROUNDUP(30*((L175/C175)*(1+H175/30)-1),0)))</f>
        <v/>
      </c>
    </row>
    <row r="176" customFormat="false" ht="15" hidden="false" customHeight="false" outlineLevel="0" collapsed="false">
      <c r="A176" s="51"/>
      <c r="B176" s="54"/>
      <c r="C176" s="20"/>
      <c r="D176" s="20"/>
      <c r="E176" s="20"/>
      <c r="F176" s="20"/>
      <c r="G176" s="20"/>
      <c r="H176" s="11" t="str">
        <f aca="false">IF(B176="","",IFERROR(INDEX(Program!$H$2:$H$75,MATCH(B176,Program!$D$2:$D$75,0)),""))</f>
        <v/>
      </c>
      <c r="I176" s="11" t="str">
        <f aca="false">IF(B176="","",IFERROR(INDEX(Program!$I$2:$I$75,MATCH(B176,Program!$D$2:$D$75,0)),""))</f>
        <v/>
      </c>
      <c r="J176" s="11" t="str">
        <f aca="false">IF(COUNT(D176:G176)=0,"",COUNT(D176:G176))</f>
        <v/>
      </c>
      <c r="K176" s="12" t="str">
        <f aca="false">IF(OR(J176="",I176=""),"",IF(MIN(D176:G176)&gt;=I176,"Add load (smallest step)",IF(MAX(D176:G176)&lt;H176,"Below range: if again, drop 5–10%","Same load, add reps")))</f>
        <v/>
      </c>
      <c r="L176" s="20"/>
      <c r="M176" s="11" t="str">
        <f aca="false">IF(OR(L176="",C176="",H176="",C176=0),"",MAX(H176,ROUNDUP(30*((L176/C176)*(1+H176/30)-1),0)))</f>
        <v/>
      </c>
    </row>
    <row r="177" customFormat="false" ht="15" hidden="false" customHeight="false" outlineLevel="0" collapsed="false">
      <c r="A177" s="51"/>
      <c r="B177" s="54"/>
      <c r="C177" s="20"/>
      <c r="D177" s="20"/>
      <c r="E177" s="20"/>
      <c r="F177" s="20"/>
      <c r="G177" s="20"/>
      <c r="H177" s="11" t="str">
        <f aca="false">IF(B177="","",IFERROR(INDEX(Program!$H$2:$H$75,MATCH(B177,Program!$D$2:$D$75,0)),""))</f>
        <v/>
      </c>
      <c r="I177" s="11" t="str">
        <f aca="false">IF(B177="","",IFERROR(INDEX(Program!$I$2:$I$75,MATCH(B177,Program!$D$2:$D$75,0)),""))</f>
        <v/>
      </c>
      <c r="J177" s="11" t="str">
        <f aca="false">IF(COUNT(D177:G177)=0,"",COUNT(D177:G177))</f>
        <v/>
      </c>
      <c r="K177" s="12" t="str">
        <f aca="false">IF(OR(J177="",I177=""),"",IF(MIN(D177:G177)&gt;=I177,"Add load (smallest step)",IF(MAX(D177:G177)&lt;H177,"Below range: if again, drop 5–10%","Same load, add reps")))</f>
        <v/>
      </c>
      <c r="L177" s="20"/>
      <c r="M177" s="11" t="str">
        <f aca="false">IF(OR(L177="",C177="",H177="",C177=0),"",MAX(H177,ROUNDUP(30*((L177/C177)*(1+H177/30)-1),0)))</f>
        <v/>
      </c>
    </row>
    <row r="178" customFormat="false" ht="15" hidden="false" customHeight="false" outlineLevel="0" collapsed="false">
      <c r="A178" s="51"/>
      <c r="B178" s="54"/>
      <c r="C178" s="20"/>
      <c r="D178" s="20"/>
      <c r="E178" s="20"/>
      <c r="F178" s="20"/>
      <c r="G178" s="20"/>
      <c r="H178" s="11" t="str">
        <f aca="false">IF(B178="","",IFERROR(INDEX(Program!$H$2:$H$75,MATCH(B178,Program!$D$2:$D$75,0)),""))</f>
        <v/>
      </c>
      <c r="I178" s="11" t="str">
        <f aca="false">IF(B178="","",IFERROR(INDEX(Program!$I$2:$I$75,MATCH(B178,Program!$D$2:$D$75,0)),""))</f>
        <v/>
      </c>
      <c r="J178" s="11" t="str">
        <f aca="false">IF(COUNT(D178:G178)=0,"",COUNT(D178:G178))</f>
        <v/>
      </c>
      <c r="K178" s="12" t="str">
        <f aca="false">IF(OR(J178="",I178=""),"",IF(MIN(D178:G178)&gt;=I178,"Add load (smallest step)",IF(MAX(D178:G178)&lt;H178,"Below range: if again, drop 5–10%","Same load, add reps")))</f>
        <v/>
      </c>
      <c r="L178" s="20"/>
      <c r="M178" s="11" t="str">
        <f aca="false">IF(OR(L178="",C178="",H178="",C178=0),"",MAX(H178,ROUNDUP(30*((L178/C178)*(1+H178/30)-1),0)))</f>
        <v/>
      </c>
    </row>
    <row r="179" customFormat="false" ht="15" hidden="false" customHeight="false" outlineLevel="0" collapsed="false">
      <c r="A179" s="51"/>
      <c r="B179" s="54"/>
      <c r="C179" s="20"/>
      <c r="D179" s="20"/>
      <c r="E179" s="20"/>
      <c r="F179" s="20"/>
      <c r="G179" s="20"/>
      <c r="H179" s="11" t="str">
        <f aca="false">IF(B179="","",IFERROR(INDEX(Program!$H$2:$H$75,MATCH(B179,Program!$D$2:$D$75,0)),""))</f>
        <v/>
      </c>
      <c r="I179" s="11" t="str">
        <f aca="false">IF(B179="","",IFERROR(INDEX(Program!$I$2:$I$75,MATCH(B179,Program!$D$2:$D$75,0)),""))</f>
        <v/>
      </c>
      <c r="J179" s="11" t="str">
        <f aca="false">IF(COUNT(D179:G179)=0,"",COUNT(D179:G179))</f>
        <v/>
      </c>
      <c r="K179" s="12" t="str">
        <f aca="false">IF(OR(J179="",I179=""),"",IF(MIN(D179:G179)&gt;=I179,"Add load (smallest step)",IF(MAX(D179:G179)&lt;H179,"Below range: if again, drop 5–10%","Same load, add reps")))</f>
        <v/>
      </c>
      <c r="L179" s="20"/>
      <c r="M179" s="11" t="str">
        <f aca="false">IF(OR(L179="",C179="",H179="",C179=0),"",MAX(H179,ROUNDUP(30*((L179/C179)*(1+H179/30)-1),0)))</f>
        <v/>
      </c>
    </row>
    <row r="180" customFormat="false" ht="15" hidden="false" customHeight="false" outlineLevel="0" collapsed="false">
      <c r="A180" s="51"/>
      <c r="B180" s="54"/>
      <c r="C180" s="20"/>
      <c r="D180" s="20"/>
      <c r="E180" s="20"/>
      <c r="F180" s="20"/>
      <c r="G180" s="20"/>
      <c r="H180" s="11" t="str">
        <f aca="false">IF(B180="","",IFERROR(INDEX(Program!$H$2:$H$75,MATCH(B180,Program!$D$2:$D$75,0)),""))</f>
        <v/>
      </c>
      <c r="I180" s="11" t="str">
        <f aca="false">IF(B180="","",IFERROR(INDEX(Program!$I$2:$I$75,MATCH(B180,Program!$D$2:$D$75,0)),""))</f>
        <v/>
      </c>
      <c r="J180" s="11" t="str">
        <f aca="false">IF(COUNT(D180:G180)=0,"",COUNT(D180:G180))</f>
        <v/>
      </c>
      <c r="K180" s="12" t="str">
        <f aca="false">IF(OR(J180="",I180=""),"",IF(MIN(D180:G180)&gt;=I180,"Add load (smallest step)",IF(MAX(D180:G180)&lt;H180,"Below range: if again, drop 5–10%","Same load, add reps")))</f>
        <v/>
      </c>
      <c r="L180" s="20"/>
      <c r="M180" s="11" t="str">
        <f aca="false">IF(OR(L180="",C180="",H180="",C180=0),"",MAX(H180,ROUNDUP(30*((L180/C180)*(1+H180/30)-1),0)))</f>
        <v/>
      </c>
    </row>
    <row r="181" customFormat="false" ht="15" hidden="false" customHeight="false" outlineLevel="0" collapsed="false">
      <c r="A181" s="51"/>
      <c r="B181" s="54"/>
      <c r="C181" s="20"/>
      <c r="D181" s="20"/>
      <c r="E181" s="20"/>
      <c r="F181" s="20"/>
      <c r="G181" s="20"/>
      <c r="H181" s="11" t="str">
        <f aca="false">IF(B181="","",IFERROR(INDEX(Program!$H$2:$H$75,MATCH(B181,Program!$D$2:$D$75,0)),""))</f>
        <v/>
      </c>
      <c r="I181" s="11" t="str">
        <f aca="false">IF(B181="","",IFERROR(INDEX(Program!$I$2:$I$75,MATCH(B181,Program!$D$2:$D$75,0)),""))</f>
        <v/>
      </c>
      <c r="J181" s="11" t="str">
        <f aca="false">IF(COUNT(D181:G181)=0,"",COUNT(D181:G181))</f>
        <v/>
      </c>
      <c r="K181" s="12" t="str">
        <f aca="false">IF(OR(J181="",I181=""),"",IF(MIN(D181:G181)&gt;=I181,"Add load (smallest step)",IF(MAX(D181:G181)&lt;H181,"Below range: if again, drop 5–10%","Same load, add reps")))</f>
        <v/>
      </c>
      <c r="L181" s="20"/>
      <c r="M181" s="11" t="str">
        <f aca="false">IF(OR(L181="",C181="",H181="",C181=0),"",MAX(H181,ROUNDUP(30*((L181/C181)*(1+H181/30)-1),0)))</f>
        <v/>
      </c>
    </row>
    <row r="182" customFormat="false" ht="15" hidden="false" customHeight="false" outlineLevel="0" collapsed="false">
      <c r="A182" s="51"/>
      <c r="B182" s="54"/>
      <c r="C182" s="20"/>
      <c r="D182" s="20"/>
      <c r="E182" s="20"/>
      <c r="F182" s="20"/>
      <c r="G182" s="20"/>
      <c r="H182" s="11" t="str">
        <f aca="false">IF(B182="","",IFERROR(INDEX(Program!$H$2:$H$75,MATCH(B182,Program!$D$2:$D$75,0)),""))</f>
        <v/>
      </c>
      <c r="I182" s="11" t="str">
        <f aca="false">IF(B182="","",IFERROR(INDEX(Program!$I$2:$I$75,MATCH(B182,Program!$D$2:$D$75,0)),""))</f>
        <v/>
      </c>
      <c r="J182" s="11" t="str">
        <f aca="false">IF(COUNT(D182:G182)=0,"",COUNT(D182:G182))</f>
        <v/>
      </c>
      <c r="K182" s="12" t="str">
        <f aca="false">IF(OR(J182="",I182=""),"",IF(MIN(D182:G182)&gt;=I182,"Add load (smallest step)",IF(MAX(D182:G182)&lt;H182,"Below range: if again, drop 5–10%","Same load, add reps")))</f>
        <v/>
      </c>
      <c r="L182" s="20"/>
      <c r="M182" s="11" t="str">
        <f aca="false">IF(OR(L182="",C182="",H182="",C182=0),"",MAX(H182,ROUNDUP(30*((L182/C182)*(1+H182/30)-1),0)))</f>
        <v/>
      </c>
    </row>
    <row r="183" customFormat="false" ht="15" hidden="false" customHeight="false" outlineLevel="0" collapsed="false">
      <c r="A183" s="51"/>
      <c r="B183" s="54"/>
      <c r="C183" s="20"/>
      <c r="D183" s="20"/>
      <c r="E183" s="20"/>
      <c r="F183" s="20"/>
      <c r="G183" s="20"/>
      <c r="H183" s="11" t="str">
        <f aca="false">IF(B183="","",IFERROR(INDEX(Program!$H$2:$H$75,MATCH(B183,Program!$D$2:$D$75,0)),""))</f>
        <v/>
      </c>
      <c r="I183" s="11" t="str">
        <f aca="false">IF(B183="","",IFERROR(INDEX(Program!$I$2:$I$75,MATCH(B183,Program!$D$2:$D$75,0)),""))</f>
        <v/>
      </c>
      <c r="J183" s="11" t="str">
        <f aca="false">IF(COUNT(D183:G183)=0,"",COUNT(D183:G183))</f>
        <v/>
      </c>
      <c r="K183" s="12" t="str">
        <f aca="false">IF(OR(J183="",I183=""),"",IF(MIN(D183:G183)&gt;=I183,"Add load (smallest step)",IF(MAX(D183:G183)&lt;H183,"Below range: if again, drop 5–10%","Same load, add reps")))</f>
        <v/>
      </c>
      <c r="L183" s="20"/>
      <c r="M183" s="11" t="str">
        <f aca="false">IF(OR(L183="",C183="",H183="",C183=0),"",MAX(H183,ROUNDUP(30*((L183/C183)*(1+H183/30)-1),0)))</f>
        <v/>
      </c>
    </row>
    <row r="184" customFormat="false" ht="15" hidden="false" customHeight="false" outlineLevel="0" collapsed="false">
      <c r="A184" s="51"/>
      <c r="B184" s="54"/>
      <c r="C184" s="20"/>
      <c r="D184" s="20"/>
      <c r="E184" s="20"/>
      <c r="F184" s="20"/>
      <c r="G184" s="20"/>
      <c r="H184" s="11" t="str">
        <f aca="false">IF(B184="","",IFERROR(INDEX(Program!$H$2:$H$75,MATCH(B184,Program!$D$2:$D$75,0)),""))</f>
        <v/>
      </c>
      <c r="I184" s="11" t="str">
        <f aca="false">IF(B184="","",IFERROR(INDEX(Program!$I$2:$I$75,MATCH(B184,Program!$D$2:$D$75,0)),""))</f>
        <v/>
      </c>
      <c r="J184" s="11" t="str">
        <f aca="false">IF(COUNT(D184:G184)=0,"",COUNT(D184:G184))</f>
        <v/>
      </c>
      <c r="K184" s="12" t="str">
        <f aca="false">IF(OR(J184="",I184=""),"",IF(MIN(D184:G184)&gt;=I184,"Add load (smallest step)",IF(MAX(D184:G184)&lt;H184,"Below range: if again, drop 5–10%","Same load, add reps")))</f>
        <v/>
      </c>
      <c r="L184" s="20"/>
      <c r="M184" s="11" t="str">
        <f aca="false">IF(OR(L184="",C184="",H184="",C184=0),"",MAX(H184,ROUNDUP(30*((L184/C184)*(1+H184/30)-1),0)))</f>
        <v/>
      </c>
    </row>
    <row r="185" customFormat="false" ht="15" hidden="false" customHeight="false" outlineLevel="0" collapsed="false">
      <c r="A185" s="51"/>
      <c r="B185" s="54"/>
      <c r="C185" s="20"/>
      <c r="D185" s="20"/>
      <c r="E185" s="20"/>
      <c r="F185" s="20"/>
      <c r="G185" s="20"/>
      <c r="H185" s="11" t="str">
        <f aca="false">IF(B185="","",IFERROR(INDEX(Program!$H$2:$H$75,MATCH(B185,Program!$D$2:$D$75,0)),""))</f>
        <v/>
      </c>
      <c r="I185" s="11" t="str">
        <f aca="false">IF(B185="","",IFERROR(INDEX(Program!$I$2:$I$75,MATCH(B185,Program!$D$2:$D$75,0)),""))</f>
        <v/>
      </c>
      <c r="J185" s="11" t="str">
        <f aca="false">IF(COUNT(D185:G185)=0,"",COUNT(D185:G185))</f>
        <v/>
      </c>
      <c r="K185" s="12" t="str">
        <f aca="false">IF(OR(J185="",I185=""),"",IF(MIN(D185:G185)&gt;=I185,"Add load (smallest step)",IF(MAX(D185:G185)&lt;H185,"Below range: if again, drop 5–10%","Same load, add reps")))</f>
        <v/>
      </c>
      <c r="L185" s="20"/>
      <c r="M185" s="11" t="str">
        <f aca="false">IF(OR(L185="",C185="",H185="",C185=0),"",MAX(H185,ROUNDUP(30*((L185/C185)*(1+H185/30)-1),0)))</f>
        <v/>
      </c>
    </row>
    <row r="186" customFormat="false" ht="15" hidden="false" customHeight="false" outlineLevel="0" collapsed="false">
      <c r="A186" s="51"/>
      <c r="B186" s="54"/>
      <c r="C186" s="20"/>
      <c r="D186" s="20"/>
      <c r="E186" s="20"/>
      <c r="F186" s="20"/>
      <c r="G186" s="20"/>
      <c r="H186" s="11" t="str">
        <f aca="false">IF(B186="","",IFERROR(INDEX(Program!$H$2:$H$75,MATCH(B186,Program!$D$2:$D$75,0)),""))</f>
        <v/>
      </c>
      <c r="I186" s="11" t="str">
        <f aca="false">IF(B186="","",IFERROR(INDEX(Program!$I$2:$I$75,MATCH(B186,Program!$D$2:$D$75,0)),""))</f>
        <v/>
      </c>
      <c r="J186" s="11" t="str">
        <f aca="false">IF(COUNT(D186:G186)=0,"",COUNT(D186:G186))</f>
        <v/>
      </c>
      <c r="K186" s="12" t="str">
        <f aca="false">IF(OR(J186="",I186=""),"",IF(MIN(D186:G186)&gt;=I186,"Add load (smallest step)",IF(MAX(D186:G186)&lt;H186,"Below range: if again, drop 5–10%","Same load, add reps")))</f>
        <v/>
      </c>
      <c r="L186" s="20"/>
      <c r="M186" s="11" t="str">
        <f aca="false">IF(OR(L186="",C186="",H186="",C186=0),"",MAX(H186,ROUNDUP(30*((L186/C186)*(1+H186/30)-1),0)))</f>
        <v/>
      </c>
    </row>
    <row r="187" customFormat="false" ht="15" hidden="false" customHeight="false" outlineLevel="0" collapsed="false">
      <c r="A187" s="51"/>
      <c r="B187" s="54"/>
      <c r="C187" s="20"/>
      <c r="D187" s="20"/>
      <c r="E187" s="20"/>
      <c r="F187" s="20"/>
      <c r="G187" s="20"/>
      <c r="H187" s="11" t="str">
        <f aca="false">IF(B187="","",IFERROR(INDEX(Program!$H$2:$H$75,MATCH(B187,Program!$D$2:$D$75,0)),""))</f>
        <v/>
      </c>
      <c r="I187" s="11" t="str">
        <f aca="false">IF(B187="","",IFERROR(INDEX(Program!$I$2:$I$75,MATCH(B187,Program!$D$2:$D$75,0)),""))</f>
        <v/>
      </c>
      <c r="J187" s="11" t="str">
        <f aca="false">IF(COUNT(D187:G187)=0,"",COUNT(D187:G187))</f>
        <v/>
      </c>
      <c r="K187" s="12" t="str">
        <f aca="false">IF(OR(J187="",I187=""),"",IF(MIN(D187:G187)&gt;=I187,"Add load (smallest step)",IF(MAX(D187:G187)&lt;H187,"Below range: if again, drop 5–10%","Same load, add reps")))</f>
        <v/>
      </c>
      <c r="L187" s="20"/>
      <c r="M187" s="11" t="str">
        <f aca="false">IF(OR(L187="",C187="",H187="",C187=0),"",MAX(H187,ROUNDUP(30*((L187/C187)*(1+H187/30)-1),0)))</f>
        <v/>
      </c>
    </row>
    <row r="188" customFormat="false" ht="15" hidden="false" customHeight="false" outlineLevel="0" collapsed="false">
      <c r="A188" s="51"/>
      <c r="B188" s="54"/>
      <c r="C188" s="20"/>
      <c r="D188" s="20"/>
      <c r="E188" s="20"/>
      <c r="F188" s="20"/>
      <c r="G188" s="20"/>
      <c r="H188" s="11" t="str">
        <f aca="false">IF(B188="","",IFERROR(INDEX(Program!$H$2:$H$75,MATCH(B188,Program!$D$2:$D$75,0)),""))</f>
        <v/>
      </c>
      <c r="I188" s="11" t="str">
        <f aca="false">IF(B188="","",IFERROR(INDEX(Program!$I$2:$I$75,MATCH(B188,Program!$D$2:$D$75,0)),""))</f>
        <v/>
      </c>
      <c r="J188" s="11" t="str">
        <f aca="false">IF(COUNT(D188:G188)=0,"",COUNT(D188:G188))</f>
        <v/>
      </c>
      <c r="K188" s="12" t="str">
        <f aca="false">IF(OR(J188="",I188=""),"",IF(MIN(D188:G188)&gt;=I188,"Add load (smallest step)",IF(MAX(D188:G188)&lt;H188,"Below range: if again, drop 5–10%","Same load, add reps")))</f>
        <v/>
      </c>
      <c r="L188" s="20"/>
      <c r="M188" s="11" t="str">
        <f aca="false">IF(OR(L188="",C188="",H188="",C188=0),"",MAX(H188,ROUNDUP(30*((L188/C188)*(1+H188/30)-1),0)))</f>
        <v/>
      </c>
    </row>
    <row r="189" customFormat="false" ht="15" hidden="false" customHeight="false" outlineLevel="0" collapsed="false">
      <c r="A189" s="51"/>
      <c r="B189" s="54"/>
      <c r="C189" s="20"/>
      <c r="D189" s="20"/>
      <c r="E189" s="20"/>
      <c r="F189" s="20"/>
      <c r="G189" s="20"/>
      <c r="H189" s="11" t="str">
        <f aca="false">IF(B189="","",IFERROR(INDEX(Program!$H$2:$H$75,MATCH(B189,Program!$D$2:$D$75,0)),""))</f>
        <v/>
      </c>
      <c r="I189" s="11" t="str">
        <f aca="false">IF(B189="","",IFERROR(INDEX(Program!$I$2:$I$75,MATCH(B189,Program!$D$2:$D$75,0)),""))</f>
        <v/>
      </c>
      <c r="J189" s="11" t="str">
        <f aca="false">IF(COUNT(D189:G189)=0,"",COUNT(D189:G189))</f>
        <v/>
      </c>
      <c r="K189" s="12" t="str">
        <f aca="false">IF(OR(J189="",I189=""),"",IF(MIN(D189:G189)&gt;=I189,"Add load (smallest step)",IF(MAX(D189:G189)&lt;H189,"Below range: if again, drop 5–10%","Same load, add reps")))</f>
        <v/>
      </c>
      <c r="L189" s="20"/>
      <c r="M189" s="11" t="str">
        <f aca="false">IF(OR(L189="",C189="",H189="",C189=0),"",MAX(H189,ROUNDUP(30*((L189/C189)*(1+H189/30)-1),0)))</f>
        <v/>
      </c>
    </row>
    <row r="190" customFormat="false" ht="15" hidden="false" customHeight="false" outlineLevel="0" collapsed="false">
      <c r="A190" s="51"/>
      <c r="B190" s="54"/>
      <c r="C190" s="20"/>
      <c r="D190" s="20"/>
      <c r="E190" s="20"/>
      <c r="F190" s="20"/>
      <c r="G190" s="20"/>
      <c r="H190" s="11" t="str">
        <f aca="false">IF(B190="","",IFERROR(INDEX(Program!$H$2:$H$75,MATCH(B190,Program!$D$2:$D$75,0)),""))</f>
        <v/>
      </c>
      <c r="I190" s="11" t="str">
        <f aca="false">IF(B190="","",IFERROR(INDEX(Program!$I$2:$I$75,MATCH(B190,Program!$D$2:$D$75,0)),""))</f>
        <v/>
      </c>
      <c r="J190" s="11" t="str">
        <f aca="false">IF(COUNT(D190:G190)=0,"",COUNT(D190:G190))</f>
        <v/>
      </c>
      <c r="K190" s="12" t="str">
        <f aca="false">IF(OR(J190="",I190=""),"",IF(MIN(D190:G190)&gt;=I190,"Add load (smallest step)",IF(MAX(D190:G190)&lt;H190,"Below range: if again, drop 5–10%","Same load, add reps")))</f>
        <v/>
      </c>
      <c r="L190" s="20"/>
      <c r="M190" s="11" t="str">
        <f aca="false">IF(OR(L190="",C190="",H190="",C190=0),"",MAX(H190,ROUNDUP(30*((L190/C190)*(1+H190/30)-1),0)))</f>
        <v/>
      </c>
    </row>
    <row r="191" customFormat="false" ht="15" hidden="false" customHeight="false" outlineLevel="0" collapsed="false">
      <c r="A191" s="51"/>
      <c r="B191" s="54"/>
      <c r="C191" s="20"/>
      <c r="D191" s="20"/>
      <c r="E191" s="20"/>
      <c r="F191" s="20"/>
      <c r="G191" s="20"/>
      <c r="H191" s="11" t="str">
        <f aca="false">IF(B191="","",IFERROR(INDEX(Program!$H$2:$H$75,MATCH(B191,Program!$D$2:$D$75,0)),""))</f>
        <v/>
      </c>
      <c r="I191" s="11" t="str">
        <f aca="false">IF(B191="","",IFERROR(INDEX(Program!$I$2:$I$75,MATCH(B191,Program!$D$2:$D$75,0)),""))</f>
        <v/>
      </c>
      <c r="J191" s="11" t="str">
        <f aca="false">IF(COUNT(D191:G191)=0,"",COUNT(D191:G191))</f>
        <v/>
      </c>
      <c r="K191" s="12" t="str">
        <f aca="false">IF(OR(J191="",I191=""),"",IF(MIN(D191:G191)&gt;=I191,"Add load (smallest step)",IF(MAX(D191:G191)&lt;H191,"Below range: if again, drop 5–10%","Same load, add reps")))</f>
        <v/>
      </c>
      <c r="L191" s="20"/>
      <c r="M191" s="11" t="str">
        <f aca="false">IF(OR(L191="",C191="",H191="",C191=0),"",MAX(H191,ROUNDUP(30*((L191/C191)*(1+H191/30)-1),0)))</f>
        <v/>
      </c>
    </row>
    <row r="192" customFormat="false" ht="15" hidden="false" customHeight="false" outlineLevel="0" collapsed="false">
      <c r="A192" s="51"/>
      <c r="B192" s="54"/>
      <c r="C192" s="20"/>
      <c r="D192" s="20"/>
      <c r="E192" s="20"/>
      <c r="F192" s="20"/>
      <c r="G192" s="20"/>
      <c r="H192" s="11" t="str">
        <f aca="false">IF(B192="","",IFERROR(INDEX(Program!$H$2:$H$75,MATCH(B192,Program!$D$2:$D$75,0)),""))</f>
        <v/>
      </c>
      <c r="I192" s="11" t="str">
        <f aca="false">IF(B192="","",IFERROR(INDEX(Program!$I$2:$I$75,MATCH(B192,Program!$D$2:$D$75,0)),""))</f>
        <v/>
      </c>
      <c r="J192" s="11" t="str">
        <f aca="false">IF(COUNT(D192:G192)=0,"",COUNT(D192:G192))</f>
        <v/>
      </c>
      <c r="K192" s="12" t="str">
        <f aca="false">IF(OR(J192="",I192=""),"",IF(MIN(D192:G192)&gt;=I192,"Add load (smallest step)",IF(MAX(D192:G192)&lt;H192,"Below range: if again, drop 5–10%","Same load, add reps")))</f>
        <v/>
      </c>
      <c r="L192" s="20"/>
      <c r="M192" s="11" t="str">
        <f aca="false">IF(OR(L192="",C192="",H192="",C192=0),"",MAX(H192,ROUNDUP(30*((L192/C192)*(1+H192/30)-1),0)))</f>
        <v/>
      </c>
    </row>
    <row r="193" customFormat="false" ht="15" hidden="false" customHeight="false" outlineLevel="0" collapsed="false">
      <c r="A193" s="51"/>
      <c r="B193" s="54"/>
      <c r="C193" s="20"/>
      <c r="D193" s="20"/>
      <c r="E193" s="20"/>
      <c r="F193" s="20"/>
      <c r="G193" s="20"/>
      <c r="H193" s="11" t="str">
        <f aca="false">IF(B193="","",IFERROR(INDEX(Program!$H$2:$H$75,MATCH(B193,Program!$D$2:$D$75,0)),""))</f>
        <v/>
      </c>
      <c r="I193" s="11" t="str">
        <f aca="false">IF(B193="","",IFERROR(INDEX(Program!$I$2:$I$75,MATCH(B193,Program!$D$2:$D$75,0)),""))</f>
        <v/>
      </c>
      <c r="J193" s="11" t="str">
        <f aca="false">IF(COUNT(D193:G193)=0,"",COUNT(D193:G193))</f>
        <v/>
      </c>
      <c r="K193" s="12" t="str">
        <f aca="false">IF(OR(J193="",I193=""),"",IF(MIN(D193:G193)&gt;=I193,"Add load (smallest step)",IF(MAX(D193:G193)&lt;H193,"Below range: if again, drop 5–10%","Same load, add reps")))</f>
        <v/>
      </c>
      <c r="L193" s="20"/>
      <c r="M193" s="11" t="str">
        <f aca="false">IF(OR(L193="",C193="",H193="",C193=0),"",MAX(H193,ROUNDUP(30*((L193/C193)*(1+H193/30)-1),0)))</f>
        <v/>
      </c>
    </row>
    <row r="194" customFormat="false" ht="15" hidden="false" customHeight="false" outlineLevel="0" collapsed="false">
      <c r="A194" s="51"/>
      <c r="B194" s="54"/>
      <c r="C194" s="20"/>
      <c r="D194" s="20"/>
      <c r="E194" s="20"/>
      <c r="F194" s="20"/>
      <c r="G194" s="20"/>
      <c r="H194" s="11" t="str">
        <f aca="false">IF(B194="","",IFERROR(INDEX(Program!$H$2:$H$75,MATCH(B194,Program!$D$2:$D$75,0)),""))</f>
        <v/>
      </c>
      <c r="I194" s="11" t="str">
        <f aca="false">IF(B194="","",IFERROR(INDEX(Program!$I$2:$I$75,MATCH(B194,Program!$D$2:$D$75,0)),""))</f>
        <v/>
      </c>
      <c r="J194" s="11" t="str">
        <f aca="false">IF(COUNT(D194:G194)=0,"",COUNT(D194:G194))</f>
        <v/>
      </c>
      <c r="K194" s="12" t="str">
        <f aca="false">IF(OR(J194="",I194=""),"",IF(MIN(D194:G194)&gt;=I194,"Add load (smallest step)",IF(MAX(D194:G194)&lt;H194,"Below range: if again, drop 5–10%","Same load, add reps")))</f>
        <v/>
      </c>
      <c r="L194" s="20"/>
      <c r="M194" s="11" t="str">
        <f aca="false">IF(OR(L194="",C194="",H194="",C194=0),"",MAX(H194,ROUNDUP(30*((L194/C194)*(1+H194/30)-1),0)))</f>
        <v/>
      </c>
    </row>
    <row r="195" customFormat="false" ht="15" hidden="false" customHeight="false" outlineLevel="0" collapsed="false">
      <c r="A195" s="51"/>
      <c r="B195" s="54"/>
      <c r="C195" s="20"/>
      <c r="D195" s="20"/>
      <c r="E195" s="20"/>
      <c r="F195" s="20"/>
      <c r="G195" s="20"/>
      <c r="H195" s="11" t="str">
        <f aca="false">IF(B195="","",IFERROR(INDEX(Program!$H$2:$H$75,MATCH(B195,Program!$D$2:$D$75,0)),""))</f>
        <v/>
      </c>
      <c r="I195" s="11" t="str">
        <f aca="false">IF(B195="","",IFERROR(INDEX(Program!$I$2:$I$75,MATCH(B195,Program!$D$2:$D$75,0)),""))</f>
        <v/>
      </c>
      <c r="J195" s="11" t="str">
        <f aca="false">IF(COUNT(D195:G195)=0,"",COUNT(D195:G195))</f>
        <v/>
      </c>
      <c r="K195" s="12" t="str">
        <f aca="false">IF(OR(J195="",I195=""),"",IF(MIN(D195:G195)&gt;=I195,"Add load (smallest step)",IF(MAX(D195:G195)&lt;H195,"Below range: if again, drop 5–10%","Same load, add reps")))</f>
        <v/>
      </c>
      <c r="L195" s="20"/>
      <c r="M195" s="11" t="str">
        <f aca="false">IF(OR(L195="",C195="",H195="",C195=0),"",MAX(H195,ROUNDUP(30*((L195/C195)*(1+H195/30)-1),0)))</f>
        <v/>
      </c>
    </row>
    <row r="196" customFormat="false" ht="15" hidden="false" customHeight="false" outlineLevel="0" collapsed="false">
      <c r="A196" s="51"/>
      <c r="B196" s="54"/>
      <c r="C196" s="20"/>
      <c r="D196" s="20"/>
      <c r="E196" s="20"/>
      <c r="F196" s="20"/>
      <c r="G196" s="20"/>
      <c r="H196" s="11" t="str">
        <f aca="false">IF(B196="","",IFERROR(INDEX(Program!$H$2:$H$75,MATCH(B196,Program!$D$2:$D$75,0)),""))</f>
        <v/>
      </c>
      <c r="I196" s="11" t="str">
        <f aca="false">IF(B196="","",IFERROR(INDEX(Program!$I$2:$I$75,MATCH(B196,Program!$D$2:$D$75,0)),""))</f>
        <v/>
      </c>
      <c r="J196" s="11" t="str">
        <f aca="false">IF(COUNT(D196:G196)=0,"",COUNT(D196:G196))</f>
        <v/>
      </c>
      <c r="K196" s="12" t="str">
        <f aca="false">IF(OR(J196="",I196=""),"",IF(MIN(D196:G196)&gt;=I196,"Add load (smallest step)",IF(MAX(D196:G196)&lt;H196,"Below range: if again, drop 5–10%","Same load, add reps")))</f>
        <v/>
      </c>
      <c r="L196" s="20"/>
      <c r="M196" s="11" t="str">
        <f aca="false">IF(OR(L196="",C196="",H196="",C196=0),"",MAX(H196,ROUNDUP(30*((L196/C196)*(1+H196/30)-1),0)))</f>
        <v/>
      </c>
    </row>
    <row r="197" customFormat="false" ht="15" hidden="false" customHeight="false" outlineLevel="0" collapsed="false">
      <c r="A197" s="51"/>
      <c r="B197" s="54"/>
      <c r="C197" s="20"/>
      <c r="D197" s="20"/>
      <c r="E197" s="20"/>
      <c r="F197" s="20"/>
      <c r="G197" s="20"/>
      <c r="H197" s="11" t="str">
        <f aca="false">IF(B197="","",IFERROR(INDEX(Program!$H$2:$H$75,MATCH(B197,Program!$D$2:$D$75,0)),""))</f>
        <v/>
      </c>
      <c r="I197" s="11" t="str">
        <f aca="false">IF(B197="","",IFERROR(INDEX(Program!$I$2:$I$75,MATCH(B197,Program!$D$2:$D$75,0)),""))</f>
        <v/>
      </c>
      <c r="J197" s="11" t="str">
        <f aca="false">IF(COUNT(D197:G197)=0,"",COUNT(D197:G197))</f>
        <v/>
      </c>
      <c r="K197" s="12" t="str">
        <f aca="false">IF(OR(J197="",I197=""),"",IF(MIN(D197:G197)&gt;=I197,"Add load (smallest step)",IF(MAX(D197:G197)&lt;H197,"Below range: if again, drop 5–10%","Same load, add reps")))</f>
        <v/>
      </c>
      <c r="L197" s="20"/>
      <c r="M197" s="11" t="str">
        <f aca="false">IF(OR(L197="",C197="",H197="",C197=0),"",MAX(H197,ROUNDUP(30*((L197/C197)*(1+H197/30)-1),0)))</f>
        <v/>
      </c>
    </row>
    <row r="198" customFormat="false" ht="15" hidden="false" customHeight="false" outlineLevel="0" collapsed="false">
      <c r="A198" s="51"/>
      <c r="B198" s="54"/>
      <c r="C198" s="20"/>
      <c r="D198" s="20"/>
      <c r="E198" s="20"/>
      <c r="F198" s="20"/>
      <c r="G198" s="20"/>
      <c r="H198" s="11" t="str">
        <f aca="false">IF(B198="","",IFERROR(INDEX(Program!$H$2:$H$75,MATCH(B198,Program!$D$2:$D$75,0)),""))</f>
        <v/>
      </c>
      <c r="I198" s="11" t="str">
        <f aca="false">IF(B198="","",IFERROR(INDEX(Program!$I$2:$I$75,MATCH(B198,Program!$D$2:$D$75,0)),""))</f>
        <v/>
      </c>
      <c r="J198" s="11" t="str">
        <f aca="false">IF(COUNT(D198:G198)=0,"",COUNT(D198:G198))</f>
        <v/>
      </c>
      <c r="K198" s="12" t="str">
        <f aca="false">IF(OR(J198="",I198=""),"",IF(MIN(D198:G198)&gt;=I198,"Add load (smallest step)",IF(MAX(D198:G198)&lt;H198,"Below range: if again, drop 5–10%","Same load, add reps")))</f>
        <v/>
      </c>
      <c r="L198" s="20"/>
      <c r="M198" s="11" t="str">
        <f aca="false">IF(OR(L198="",C198="",H198="",C198=0),"",MAX(H198,ROUNDUP(30*((L198/C198)*(1+H198/30)-1),0)))</f>
        <v/>
      </c>
    </row>
    <row r="199" customFormat="false" ht="15" hidden="false" customHeight="false" outlineLevel="0" collapsed="false">
      <c r="A199" s="51"/>
      <c r="B199" s="54"/>
      <c r="C199" s="20"/>
      <c r="D199" s="20"/>
      <c r="E199" s="20"/>
      <c r="F199" s="20"/>
      <c r="G199" s="20"/>
      <c r="H199" s="11" t="str">
        <f aca="false">IF(B199="","",IFERROR(INDEX(Program!$H$2:$H$75,MATCH(B199,Program!$D$2:$D$75,0)),""))</f>
        <v/>
      </c>
      <c r="I199" s="11" t="str">
        <f aca="false">IF(B199="","",IFERROR(INDEX(Program!$I$2:$I$75,MATCH(B199,Program!$D$2:$D$75,0)),""))</f>
        <v/>
      </c>
      <c r="J199" s="11" t="str">
        <f aca="false">IF(COUNT(D199:G199)=0,"",COUNT(D199:G199))</f>
        <v/>
      </c>
      <c r="K199" s="12" t="str">
        <f aca="false">IF(OR(J199="",I199=""),"",IF(MIN(D199:G199)&gt;=I199,"Add load (smallest step)",IF(MAX(D199:G199)&lt;H199,"Below range: if again, drop 5–10%","Same load, add reps")))</f>
        <v/>
      </c>
      <c r="L199" s="20"/>
      <c r="M199" s="11" t="str">
        <f aca="false">IF(OR(L199="",C199="",H199="",C199=0),"",MAX(H199,ROUNDUP(30*((L199/C199)*(1+H199/30)-1),0)))</f>
        <v/>
      </c>
    </row>
    <row r="200" customFormat="false" ht="15" hidden="false" customHeight="false" outlineLevel="0" collapsed="false">
      <c r="A200" s="51"/>
      <c r="B200" s="54"/>
      <c r="C200" s="20"/>
      <c r="D200" s="20"/>
      <c r="E200" s="20"/>
      <c r="F200" s="20"/>
      <c r="G200" s="20"/>
      <c r="H200" s="11" t="str">
        <f aca="false">IF(B200="","",IFERROR(INDEX(Program!$H$2:$H$75,MATCH(B200,Program!$D$2:$D$75,0)),""))</f>
        <v/>
      </c>
      <c r="I200" s="11" t="str">
        <f aca="false">IF(B200="","",IFERROR(INDEX(Program!$I$2:$I$75,MATCH(B200,Program!$D$2:$D$75,0)),""))</f>
        <v/>
      </c>
      <c r="J200" s="11" t="str">
        <f aca="false">IF(COUNT(D200:G200)=0,"",COUNT(D200:G200))</f>
        <v/>
      </c>
      <c r="K200" s="12" t="str">
        <f aca="false">IF(OR(J200="",I200=""),"",IF(MIN(D200:G200)&gt;=I200,"Add load (smallest step)",IF(MAX(D200:G200)&lt;H200,"Below range: if again, drop 5–10%","Same load, add reps")))</f>
        <v/>
      </c>
      <c r="L200" s="20"/>
      <c r="M200" s="11" t="str">
        <f aca="false">IF(OR(L200="",C200="",H200="",C200=0),"",MAX(H200,ROUNDUP(30*((L200/C200)*(1+H200/30)-1),0)))</f>
        <v/>
      </c>
    </row>
    <row r="201" customFormat="false" ht="15" hidden="false" customHeight="false" outlineLevel="0" collapsed="false">
      <c r="A201" s="51"/>
      <c r="B201" s="54"/>
      <c r="C201" s="20"/>
      <c r="D201" s="20"/>
      <c r="E201" s="20"/>
      <c r="F201" s="20"/>
      <c r="G201" s="20"/>
      <c r="H201" s="11" t="str">
        <f aca="false">IF(B201="","",IFERROR(INDEX(Program!$H$2:$H$75,MATCH(B201,Program!$D$2:$D$75,0)),""))</f>
        <v/>
      </c>
      <c r="I201" s="11" t="str">
        <f aca="false">IF(B201="","",IFERROR(INDEX(Program!$I$2:$I$75,MATCH(B201,Program!$D$2:$D$75,0)),""))</f>
        <v/>
      </c>
      <c r="J201" s="11" t="str">
        <f aca="false">IF(COUNT(D201:G201)=0,"",COUNT(D201:G201))</f>
        <v/>
      </c>
      <c r="K201" s="12" t="str">
        <f aca="false">IF(OR(J201="",I201=""),"",IF(MIN(D201:G201)&gt;=I201,"Add load (smallest step)",IF(MAX(D201:G201)&lt;H201,"Below range: if again, drop 5–10%","Same load, add reps")))</f>
        <v/>
      </c>
      <c r="L201" s="20"/>
      <c r="M201" s="11" t="str">
        <f aca="false">IF(OR(L201="",C201="",H201="",C201=0),"",MAX(H201,ROUNDUP(30*((L201/C201)*(1+H201/30)-1),0)))</f>
        <v/>
      </c>
    </row>
    <row r="202" customFormat="false" ht="15" hidden="false" customHeight="false" outlineLevel="0" collapsed="false">
      <c r="A202" s="51"/>
      <c r="B202" s="54"/>
      <c r="C202" s="20"/>
      <c r="D202" s="20"/>
      <c r="E202" s="20"/>
      <c r="F202" s="20"/>
      <c r="G202" s="20"/>
      <c r="H202" s="11" t="str">
        <f aca="false">IF(B202="","",IFERROR(INDEX(Program!$H$2:$H$75,MATCH(B202,Program!$D$2:$D$75,0)),""))</f>
        <v/>
      </c>
      <c r="I202" s="11" t="str">
        <f aca="false">IF(B202="","",IFERROR(INDEX(Program!$I$2:$I$75,MATCH(B202,Program!$D$2:$D$75,0)),""))</f>
        <v/>
      </c>
      <c r="J202" s="11" t="str">
        <f aca="false">IF(COUNT(D202:G202)=0,"",COUNT(D202:G202))</f>
        <v/>
      </c>
      <c r="K202" s="12" t="str">
        <f aca="false">IF(OR(J202="",I202=""),"",IF(MIN(D202:G202)&gt;=I202,"Add load (smallest step)",IF(MAX(D202:G202)&lt;H202,"Below range: if again, drop 5–10%","Same load, add reps")))</f>
        <v/>
      </c>
      <c r="L202" s="20"/>
      <c r="M202" s="11" t="str">
        <f aca="false">IF(OR(L202="",C202="",H202="",C202=0),"",MAX(H202,ROUNDUP(30*((L202/C202)*(1+H202/30)-1),0)))</f>
        <v/>
      </c>
    </row>
    <row r="203" customFormat="false" ht="15" hidden="false" customHeight="false" outlineLevel="0" collapsed="false">
      <c r="A203" s="51"/>
      <c r="B203" s="54"/>
      <c r="C203" s="20"/>
      <c r="D203" s="20"/>
      <c r="E203" s="20"/>
      <c r="F203" s="20"/>
      <c r="G203" s="20"/>
      <c r="H203" s="11" t="str">
        <f aca="false">IF(B203="","",IFERROR(INDEX(Program!$H$2:$H$75,MATCH(B203,Program!$D$2:$D$75,0)),""))</f>
        <v/>
      </c>
      <c r="I203" s="11" t="str">
        <f aca="false">IF(B203="","",IFERROR(INDEX(Program!$I$2:$I$75,MATCH(B203,Program!$D$2:$D$75,0)),""))</f>
        <v/>
      </c>
      <c r="J203" s="11" t="str">
        <f aca="false">IF(COUNT(D203:G203)=0,"",COUNT(D203:G203))</f>
        <v/>
      </c>
      <c r="K203" s="12" t="str">
        <f aca="false">IF(OR(J203="",I203=""),"",IF(MIN(D203:G203)&gt;=I203,"Add load (smallest step)",IF(MAX(D203:G203)&lt;H203,"Below range: if again, drop 5–10%","Same load, add reps")))</f>
        <v/>
      </c>
      <c r="L203" s="20"/>
      <c r="M203" s="11" t="str">
        <f aca="false">IF(OR(L203="",C203="",H203="",C203=0),"",MAX(H203,ROUNDUP(30*((L203/C203)*(1+H203/30)-1),0)))</f>
        <v/>
      </c>
    </row>
    <row r="204" customFormat="false" ht="15" hidden="false" customHeight="false" outlineLevel="0" collapsed="false">
      <c r="A204" s="51"/>
      <c r="B204" s="54"/>
      <c r="C204" s="20"/>
      <c r="D204" s="20"/>
      <c r="E204" s="20"/>
      <c r="F204" s="20"/>
      <c r="G204" s="20"/>
      <c r="H204" s="11" t="str">
        <f aca="false">IF(B204="","",IFERROR(INDEX(Program!$H$2:$H$75,MATCH(B204,Program!$D$2:$D$75,0)),""))</f>
        <v/>
      </c>
      <c r="I204" s="11" t="str">
        <f aca="false">IF(B204="","",IFERROR(INDEX(Program!$I$2:$I$75,MATCH(B204,Program!$D$2:$D$75,0)),""))</f>
        <v/>
      </c>
      <c r="J204" s="11" t="str">
        <f aca="false">IF(COUNT(D204:G204)=0,"",COUNT(D204:G204))</f>
        <v/>
      </c>
      <c r="K204" s="12" t="str">
        <f aca="false">IF(OR(J204="",I204=""),"",IF(MIN(D204:G204)&gt;=I204,"Add load (smallest step)",IF(MAX(D204:G204)&lt;H204,"Below range: if again, drop 5–10%","Same load, add reps")))</f>
        <v/>
      </c>
      <c r="L204" s="20"/>
      <c r="M204" s="11" t="str">
        <f aca="false">IF(OR(L204="",C204="",H204="",C204=0),"",MAX(H204,ROUNDUP(30*((L204/C204)*(1+H204/30)-1),0)))</f>
        <v/>
      </c>
    </row>
    <row r="205" customFormat="false" ht="15" hidden="false" customHeight="false" outlineLevel="0" collapsed="false">
      <c r="A205" s="51"/>
      <c r="B205" s="54"/>
      <c r="C205" s="20"/>
      <c r="D205" s="20"/>
      <c r="E205" s="20"/>
      <c r="F205" s="20"/>
      <c r="G205" s="20"/>
      <c r="H205" s="11" t="str">
        <f aca="false">IF(B205="","",IFERROR(INDEX(Program!$H$2:$H$75,MATCH(B205,Program!$D$2:$D$75,0)),""))</f>
        <v/>
      </c>
      <c r="I205" s="11" t="str">
        <f aca="false">IF(B205="","",IFERROR(INDEX(Program!$I$2:$I$75,MATCH(B205,Program!$D$2:$D$75,0)),""))</f>
        <v/>
      </c>
      <c r="J205" s="11" t="str">
        <f aca="false">IF(COUNT(D205:G205)=0,"",COUNT(D205:G205))</f>
        <v/>
      </c>
      <c r="K205" s="12" t="str">
        <f aca="false">IF(OR(J205="",I205=""),"",IF(MIN(D205:G205)&gt;=I205,"Add load (smallest step)",IF(MAX(D205:G205)&lt;H205,"Below range: if again, drop 5–10%","Same load, add reps")))</f>
        <v/>
      </c>
      <c r="L205" s="20"/>
      <c r="M205" s="11" t="str">
        <f aca="false">IF(OR(L205="",C205="",H205="",C205=0),"",MAX(H205,ROUNDUP(30*((L205/C205)*(1+H205/30)-1),0)))</f>
        <v/>
      </c>
    </row>
    <row r="206" customFormat="false" ht="15" hidden="false" customHeight="false" outlineLevel="0" collapsed="false">
      <c r="A206" s="51"/>
      <c r="B206" s="54"/>
      <c r="C206" s="20"/>
      <c r="D206" s="20"/>
      <c r="E206" s="20"/>
      <c r="F206" s="20"/>
      <c r="G206" s="20"/>
      <c r="H206" s="11" t="str">
        <f aca="false">IF(B206="","",IFERROR(INDEX(Program!$H$2:$H$75,MATCH(B206,Program!$D$2:$D$75,0)),""))</f>
        <v/>
      </c>
      <c r="I206" s="11" t="str">
        <f aca="false">IF(B206="","",IFERROR(INDEX(Program!$I$2:$I$75,MATCH(B206,Program!$D$2:$D$75,0)),""))</f>
        <v/>
      </c>
      <c r="J206" s="11" t="str">
        <f aca="false">IF(COUNT(D206:G206)=0,"",COUNT(D206:G206))</f>
        <v/>
      </c>
      <c r="K206" s="12" t="str">
        <f aca="false">IF(OR(J206="",I206=""),"",IF(MIN(D206:G206)&gt;=I206,"Add load (smallest step)",IF(MAX(D206:G206)&lt;H206,"Below range: if again, drop 5–10%","Same load, add reps")))</f>
        <v/>
      </c>
      <c r="L206" s="20"/>
      <c r="M206" s="11" t="str">
        <f aca="false">IF(OR(L206="",C206="",H206="",C206=0),"",MAX(H206,ROUNDUP(30*((L206/C206)*(1+H206/30)-1),0)))</f>
        <v/>
      </c>
    </row>
    <row r="207" customFormat="false" ht="15" hidden="false" customHeight="false" outlineLevel="0" collapsed="false">
      <c r="A207" s="51"/>
      <c r="B207" s="54"/>
      <c r="C207" s="20"/>
      <c r="D207" s="20"/>
      <c r="E207" s="20"/>
      <c r="F207" s="20"/>
      <c r="G207" s="20"/>
      <c r="H207" s="11" t="str">
        <f aca="false">IF(B207="","",IFERROR(INDEX(Program!$H$2:$H$75,MATCH(B207,Program!$D$2:$D$75,0)),""))</f>
        <v/>
      </c>
      <c r="I207" s="11" t="str">
        <f aca="false">IF(B207="","",IFERROR(INDEX(Program!$I$2:$I$75,MATCH(B207,Program!$D$2:$D$75,0)),""))</f>
        <v/>
      </c>
      <c r="J207" s="11" t="str">
        <f aca="false">IF(COUNT(D207:G207)=0,"",COUNT(D207:G207))</f>
        <v/>
      </c>
      <c r="K207" s="12" t="str">
        <f aca="false">IF(OR(J207="",I207=""),"",IF(MIN(D207:G207)&gt;=I207,"Add load (smallest step)",IF(MAX(D207:G207)&lt;H207,"Below range: if again, drop 5–10%","Same load, add reps")))</f>
        <v/>
      </c>
      <c r="L207" s="20"/>
      <c r="M207" s="11" t="str">
        <f aca="false">IF(OR(L207="",C207="",H207="",C207=0),"",MAX(H207,ROUNDUP(30*((L207/C207)*(1+H207/30)-1),0)))</f>
        <v/>
      </c>
    </row>
    <row r="208" customFormat="false" ht="15" hidden="false" customHeight="false" outlineLevel="0" collapsed="false">
      <c r="A208" s="51"/>
      <c r="B208" s="54"/>
      <c r="C208" s="20"/>
      <c r="D208" s="20"/>
      <c r="E208" s="20"/>
      <c r="F208" s="20"/>
      <c r="G208" s="20"/>
      <c r="H208" s="11" t="str">
        <f aca="false">IF(B208="","",IFERROR(INDEX(Program!$H$2:$H$75,MATCH(B208,Program!$D$2:$D$75,0)),""))</f>
        <v/>
      </c>
      <c r="I208" s="11" t="str">
        <f aca="false">IF(B208="","",IFERROR(INDEX(Program!$I$2:$I$75,MATCH(B208,Program!$D$2:$D$75,0)),""))</f>
        <v/>
      </c>
      <c r="J208" s="11" t="str">
        <f aca="false">IF(COUNT(D208:G208)=0,"",COUNT(D208:G208))</f>
        <v/>
      </c>
      <c r="K208" s="12" t="str">
        <f aca="false">IF(OR(J208="",I208=""),"",IF(MIN(D208:G208)&gt;=I208,"Add load (smallest step)",IF(MAX(D208:G208)&lt;H208,"Below range: if again, drop 5–10%","Same load, add reps")))</f>
        <v/>
      </c>
      <c r="L208" s="20"/>
      <c r="M208" s="11" t="str">
        <f aca="false">IF(OR(L208="",C208="",H208="",C208=0),"",MAX(H208,ROUNDUP(30*((L208/C208)*(1+H208/30)-1),0)))</f>
        <v/>
      </c>
    </row>
    <row r="209" customFormat="false" ht="15" hidden="false" customHeight="false" outlineLevel="0" collapsed="false">
      <c r="A209" s="51"/>
      <c r="B209" s="54"/>
      <c r="C209" s="20"/>
      <c r="D209" s="20"/>
      <c r="E209" s="20"/>
      <c r="F209" s="20"/>
      <c r="G209" s="20"/>
      <c r="H209" s="11" t="str">
        <f aca="false">IF(B209="","",IFERROR(INDEX(Program!$H$2:$H$75,MATCH(B209,Program!$D$2:$D$75,0)),""))</f>
        <v/>
      </c>
      <c r="I209" s="11" t="str">
        <f aca="false">IF(B209="","",IFERROR(INDEX(Program!$I$2:$I$75,MATCH(B209,Program!$D$2:$D$75,0)),""))</f>
        <v/>
      </c>
      <c r="J209" s="11" t="str">
        <f aca="false">IF(COUNT(D209:G209)=0,"",COUNT(D209:G209))</f>
        <v/>
      </c>
      <c r="K209" s="12" t="str">
        <f aca="false">IF(OR(J209="",I209=""),"",IF(MIN(D209:G209)&gt;=I209,"Add load (smallest step)",IF(MAX(D209:G209)&lt;H209,"Below range: if again, drop 5–10%","Same load, add reps")))</f>
        <v/>
      </c>
      <c r="L209" s="20"/>
      <c r="M209" s="11" t="str">
        <f aca="false">IF(OR(L209="",C209="",H209="",C209=0),"",MAX(H209,ROUNDUP(30*((L209/C209)*(1+H209/30)-1),0)))</f>
        <v/>
      </c>
    </row>
    <row r="210" customFormat="false" ht="15" hidden="false" customHeight="false" outlineLevel="0" collapsed="false">
      <c r="A210" s="51"/>
      <c r="B210" s="54"/>
      <c r="C210" s="20"/>
      <c r="D210" s="20"/>
      <c r="E210" s="20"/>
      <c r="F210" s="20"/>
      <c r="G210" s="20"/>
      <c r="H210" s="11" t="str">
        <f aca="false">IF(B210="","",IFERROR(INDEX(Program!$H$2:$H$75,MATCH(B210,Program!$D$2:$D$75,0)),""))</f>
        <v/>
      </c>
      <c r="I210" s="11" t="str">
        <f aca="false">IF(B210="","",IFERROR(INDEX(Program!$I$2:$I$75,MATCH(B210,Program!$D$2:$D$75,0)),""))</f>
        <v/>
      </c>
      <c r="J210" s="11" t="str">
        <f aca="false">IF(COUNT(D210:G210)=0,"",COUNT(D210:G210))</f>
        <v/>
      </c>
      <c r="K210" s="12" t="str">
        <f aca="false">IF(OR(J210="",I210=""),"",IF(MIN(D210:G210)&gt;=I210,"Add load (smallest step)",IF(MAX(D210:G210)&lt;H210,"Below range: if again, drop 5–10%","Same load, add reps")))</f>
        <v/>
      </c>
      <c r="L210" s="20"/>
      <c r="M210" s="11" t="str">
        <f aca="false">IF(OR(L210="",C210="",H210="",C210=0),"",MAX(H210,ROUNDUP(30*((L210/C210)*(1+H210/30)-1),0)))</f>
        <v/>
      </c>
    </row>
    <row r="211" customFormat="false" ht="15" hidden="false" customHeight="false" outlineLevel="0" collapsed="false">
      <c r="A211" s="51"/>
      <c r="B211" s="54"/>
      <c r="C211" s="20"/>
      <c r="D211" s="20"/>
      <c r="E211" s="20"/>
      <c r="F211" s="20"/>
      <c r="G211" s="20"/>
      <c r="H211" s="11" t="str">
        <f aca="false">IF(B211="","",IFERROR(INDEX(Program!$H$2:$H$75,MATCH(B211,Program!$D$2:$D$75,0)),""))</f>
        <v/>
      </c>
      <c r="I211" s="11" t="str">
        <f aca="false">IF(B211="","",IFERROR(INDEX(Program!$I$2:$I$75,MATCH(B211,Program!$D$2:$D$75,0)),""))</f>
        <v/>
      </c>
      <c r="J211" s="11" t="str">
        <f aca="false">IF(COUNT(D211:G211)=0,"",COUNT(D211:G211))</f>
        <v/>
      </c>
      <c r="K211" s="12" t="str">
        <f aca="false">IF(OR(J211="",I211=""),"",IF(MIN(D211:G211)&gt;=I211,"Add load (smallest step)",IF(MAX(D211:G211)&lt;H211,"Below range: if again, drop 5–10%","Same load, add reps")))</f>
        <v/>
      </c>
      <c r="L211" s="20"/>
      <c r="M211" s="11" t="str">
        <f aca="false">IF(OR(L211="",C211="",H211="",C211=0),"",MAX(H211,ROUNDUP(30*((L211/C211)*(1+H211/30)-1),0)))</f>
        <v/>
      </c>
    </row>
    <row r="212" customFormat="false" ht="15" hidden="false" customHeight="false" outlineLevel="0" collapsed="false">
      <c r="A212" s="51"/>
      <c r="B212" s="54"/>
      <c r="C212" s="20"/>
      <c r="D212" s="20"/>
      <c r="E212" s="20"/>
      <c r="F212" s="20"/>
      <c r="G212" s="20"/>
      <c r="H212" s="11" t="str">
        <f aca="false">IF(B212="","",IFERROR(INDEX(Program!$H$2:$H$75,MATCH(B212,Program!$D$2:$D$75,0)),""))</f>
        <v/>
      </c>
      <c r="I212" s="11" t="str">
        <f aca="false">IF(B212="","",IFERROR(INDEX(Program!$I$2:$I$75,MATCH(B212,Program!$D$2:$D$75,0)),""))</f>
        <v/>
      </c>
      <c r="J212" s="11" t="str">
        <f aca="false">IF(COUNT(D212:G212)=0,"",COUNT(D212:G212))</f>
        <v/>
      </c>
      <c r="K212" s="12" t="str">
        <f aca="false">IF(OR(J212="",I212=""),"",IF(MIN(D212:G212)&gt;=I212,"Add load (smallest step)",IF(MAX(D212:G212)&lt;H212,"Below range: if again, drop 5–10%","Same load, add reps")))</f>
        <v/>
      </c>
      <c r="L212" s="20"/>
      <c r="M212" s="11" t="str">
        <f aca="false">IF(OR(L212="",C212="",H212="",C212=0),"",MAX(H212,ROUNDUP(30*((L212/C212)*(1+H212/30)-1),0)))</f>
        <v/>
      </c>
    </row>
    <row r="213" customFormat="false" ht="15" hidden="false" customHeight="false" outlineLevel="0" collapsed="false">
      <c r="A213" s="51"/>
      <c r="B213" s="54"/>
      <c r="C213" s="20"/>
      <c r="D213" s="20"/>
      <c r="E213" s="20"/>
      <c r="F213" s="20"/>
      <c r="G213" s="20"/>
      <c r="H213" s="11" t="str">
        <f aca="false">IF(B213="","",IFERROR(INDEX(Program!$H$2:$H$75,MATCH(B213,Program!$D$2:$D$75,0)),""))</f>
        <v/>
      </c>
      <c r="I213" s="11" t="str">
        <f aca="false">IF(B213="","",IFERROR(INDEX(Program!$I$2:$I$75,MATCH(B213,Program!$D$2:$D$75,0)),""))</f>
        <v/>
      </c>
      <c r="J213" s="11" t="str">
        <f aca="false">IF(COUNT(D213:G213)=0,"",COUNT(D213:G213))</f>
        <v/>
      </c>
      <c r="K213" s="12" t="str">
        <f aca="false">IF(OR(J213="",I213=""),"",IF(MIN(D213:G213)&gt;=I213,"Add load (smallest step)",IF(MAX(D213:G213)&lt;H213,"Below range: if again, drop 5–10%","Same load, add reps")))</f>
        <v/>
      </c>
      <c r="L213" s="20"/>
      <c r="M213" s="11" t="str">
        <f aca="false">IF(OR(L213="",C213="",H213="",C213=0),"",MAX(H213,ROUNDUP(30*((L213/C213)*(1+H213/30)-1),0)))</f>
        <v/>
      </c>
    </row>
    <row r="214" customFormat="false" ht="15" hidden="false" customHeight="false" outlineLevel="0" collapsed="false">
      <c r="A214" s="51"/>
      <c r="B214" s="54"/>
      <c r="C214" s="20"/>
      <c r="D214" s="20"/>
      <c r="E214" s="20"/>
      <c r="F214" s="20"/>
      <c r="G214" s="20"/>
      <c r="H214" s="11" t="str">
        <f aca="false">IF(B214="","",IFERROR(INDEX(Program!$H$2:$H$75,MATCH(B214,Program!$D$2:$D$75,0)),""))</f>
        <v/>
      </c>
      <c r="I214" s="11" t="str">
        <f aca="false">IF(B214="","",IFERROR(INDEX(Program!$I$2:$I$75,MATCH(B214,Program!$D$2:$D$75,0)),""))</f>
        <v/>
      </c>
      <c r="J214" s="11" t="str">
        <f aca="false">IF(COUNT(D214:G214)=0,"",COUNT(D214:G214))</f>
        <v/>
      </c>
      <c r="K214" s="12" t="str">
        <f aca="false">IF(OR(J214="",I214=""),"",IF(MIN(D214:G214)&gt;=I214,"Add load (smallest step)",IF(MAX(D214:G214)&lt;H214,"Below range: if again, drop 5–10%","Same load, add reps")))</f>
        <v/>
      </c>
      <c r="L214" s="20"/>
      <c r="M214" s="11" t="str">
        <f aca="false">IF(OR(L214="",C214="",H214="",C214=0),"",MAX(H214,ROUNDUP(30*((L214/C214)*(1+H214/30)-1),0)))</f>
        <v/>
      </c>
    </row>
    <row r="215" customFormat="false" ht="15" hidden="false" customHeight="false" outlineLevel="0" collapsed="false">
      <c r="A215" s="51"/>
      <c r="B215" s="54"/>
      <c r="C215" s="20"/>
      <c r="D215" s="20"/>
      <c r="E215" s="20"/>
      <c r="F215" s="20"/>
      <c r="G215" s="20"/>
      <c r="H215" s="11" t="str">
        <f aca="false">IF(B215="","",IFERROR(INDEX(Program!$H$2:$H$75,MATCH(B215,Program!$D$2:$D$75,0)),""))</f>
        <v/>
      </c>
      <c r="I215" s="11" t="str">
        <f aca="false">IF(B215="","",IFERROR(INDEX(Program!$I$2:$I$75,MATCH(B215,Program!$D$2:$D$75,0)),""))</f>
        <v/>
      </c>
      <c r="J215" s="11" t="str">
        <f aca="false">IF(COUNT(D215:G215)=0,"",COUNT(D215:G215))</f>
        <v/>
      </c>
      <c r="K215" s="12" t="str">
        <f aca="false">IF(OR(J215="",I215=""),"",IF(MIN(D215:G215)&gt;=I215,"Add load (smallest step)",IF(MAX(D215:G215)&lt;H215,"Below range: if again, drop 5–10%","Same load, add reps")))</f>
        <v/>
      </c>
      <c r="L215" s="20"/>
      <c r="M215" s="11" t="str">
        <f aca="false">IF(OR(L215="",C215="",H215="",C215=0),"",MAX(H215,ROUNDUP(30*((L215/C215)*(1+H215/30)-1),0)))</f>
        <v/>
      </c>
    </row>
    <row r="216" customFormat="false" ht="15" hidden="false" customHeight="false" outlineLevel="0" collapsed="false">
      <c r="A216" s="51"/>
      <c r="B216" s="54"/>
      <c r="C216" s="20"/>
      <c r="D216" s="20"/>
      <c r="E216" s="20"/>
      <c r="F216" s="20"/>
      <c r="G216" s="20"/>
      <c r="H216" s="11" t="str">
        <f aca="false">IF(B216="","",IFERROR(INDEX(Program!$H$2:$H$75,MATCH(B216,Program!$D$2:$D$75,0)),""))</f>
        <v/>
      </c>
      <c r="I216" s="11" t="str">
        <f aca="false">IF(B216="","",IFERROR(INDEX(Program!$I$2:$I$75,MATCH(B216,Program!$D$2:$D$75,0)),""))</f>
        <v/>
      </c>
      <c r="J216" s="11" t="str">
        <f aca="false">IF(COUNT(D216:G216)=0,"",COUNT(D216:G216))</f>
        <v/>
      </c>
      <c r="K216" s="12" t="str">
        <f aca="false">IF(OR(J216="",I216=""),"",IF(MIN(D216:G216)&gt;=I216,"Add load (smallest step)",IF(MAX(D216:G216)&lt;H216,"Below range: if again, drop 5–10%","Same load, add reps")))</f>
        <v/>
      </c>
      <c r="L216" s="20"/>
      <c r="M216" s="11" t="str">
        <f aca="false">IF(OR(L216="",C216="",H216="",C216=0),"",MAX(H216,ROUNDUP(30*((L216/C216)*(1+H216/30)-1),0)))</f>
        <v/>
      </c>
    </row>
    <row r="217" customFormat="false" ht="15" hidden="false" customHeight="false" outlineLevel="0" collapsed="false">
      <c r="A217" s="51"/>
      <c r="B217" s="54"/>
      <c r="C217" s="20"/>
      <c r="D217" s="20"/>
      <c r="E217" s="20"/>
      <c r="F217" s="20"/>
      <c r="G217" s="20"/>
      <c r="H217" s="11" t="str">
        <f aca="false">IF(B217="","",IFERROR(INDEX(Program!$H$2:$H$75,MATCH(B217,Program!$D$2:$D$75,0)),""))</f>
        <v/>
      </c>
      <c r="I217" s="11" t="str">
        <f aca="false">IF(B217="","",IFERROR(INDEX(Program!$I$2:$I$75,MATCH(B217,Program!$D$2:$D$75,0)),""))</f>
        <v/>
      </c>
      <c r="J217" s="11" t="str">
        <f aca="false">IF(COUNT(D217:G217)=0,"",COUNT(D217:G217))</f>
        <v/>
      </c>
      <c r="K217" s="12" t="str">
        <f aca="false">IF(OR(J217="",I217=""),"",IF(MIN(D217:G217)&gt;=I217,"Add load (smallest step)",IF(MAX(D217:G217)&lt;H217,"Below range: if again, drop 5–10%","Same load, add reps")))</f>
        <v/>
      </c>
      <c r="L217" s="20"/>
      <c r="M217" s="11" t="str">
        <f aca="false">IF(OR(L217="",C217="",H217="",C217=0),"",MAX(H217,ROUNDUP(30*((L217/C217)*(1+H217/30)-1),0)))</f>
        <v/>
      </c>
    </row>
    <row r="218" customFormat="false" ht="15" hidden="false" customHeight="false" outlineLevel="0" collapsed="false">
      <c r="A218" s="51"/>
      <c r="B218" s="54"/>
      <c r="C218" s="20"/>
      <c r="D218" s="20"/>
      <c r="E218" s="20"/>
      <c r="F218" s="20"/>
      <c r="G218" s="20"/>
      <c r="H218" s="11" t="str">
        <f aca="false">IF(B218="","",IFERROR(INDEX(Program!$H$2:$H$75,MATCH(B218,Program!$D$2:$D$75,0)),""))</f>
        <v/>
      </c>
      <c r="I218" s="11" t="str">
        <f aca="false">IF(B218="","",IFERROR(INDEX(Program!$I$2:$I$75,MATCH(B218,Program!$D$2:$D$75,0)),""))</f>
        <v/>
      </c>
      <c r="J218" s="11" t="str">
        <f aca="false">IF(COUNT(D218:G218)=0,"",COUNT(D218:G218))</f>
        <v/>
      </c>
      <c r="K218" s="12" t="str">
        <f aca="false">IF(OR(J218="",I218=""),"",IF(MIN(D218:G218)&gt;=I218,"Add load (smallest step)",IF(MAX(D218:G218)&lt;H218,"Below range: if again, drop 5–10%","Same load, add reps")))</f>
        <v/>
      </c>
      <c r="L218" s="20"/>
      <c r="M218" s="11" t="str">
        <f aca="false">IF(OR(L218="",C218="",H218="",C218=0),"",MAX(H218,ROUNDUP(30*((L218/C218)*(1+H218/30)-1),0)))</f>
        <v/>
      </c>
    </row>
    <row r="219" customFormat="false" ht="15" hidden="false" customHeight="false" outlineLevel="0" collapsed="false">
      <c r="A219" s="51"/>
      <c r="B219" s="54"/>
      <c r="C219" s="20"/>
      <c r="D219" s="20"/>
      <c r="E219" s="20"/>
      <c r="F219" s="20"/>
      <c r="G219" s="20"/>
      <c r="H219" s="11" t="str">
        <f aca="false">IF(B219="","",IFERROR(INDEX(Program!$H$2:$H$75,MATCH(B219,Program!$D$2:$D$75,0)),""))</f>
        <v/>
      </c>
      <c r="I219" s="11" t="str">
        <f aca="false">IF(B219="","",IFERROR(INDEX(Program!$I$2:$I$75,MATCH(B219,Program!$D$2:$D$75,0)),""))</f>
        <v/>
      </c>
      <c r="J219" s="11" t="str">
        <f aca="false">IF(COUNT(D219:G219)=0,"",COUNT(D219:G219))</f>
        <v/>
      </c>
      <c r="K219" s="12" t="str">
        <f aca="false">IF(OR(J219="",I219=""),"",IF(MIN(D219:G219)&gt;=I219,"Add load (smallest step)",IF(MAX(D219:G219)&lt;H219,"Below range: if again, drop 5–10%","Same load, add reps")))</f>
        <v/>
      </c>
      <c r="L219" s="20"/>
      <c r="M219" s="11" t="str">
        <f aca="false">IF(OR(L219="",C219="",H219="",C219=0),"",MAX(H219,ROUNDUP(30*((L219/C219)*(1+H219/30)-1),0)))</f>
        <v/>
      </c>
    </row>
    <row r="220" customFormat="false" ht="15" hidden="false" customHeight="false" outlineLevel="0" collapsed="false">
      <c r="A220" s="51"/>
      <c r="B220" s="54"/>
      <c r="C220" s="20"/>
      <c r="D220" s="20"/>
      <c r="E220" s="20"/>
      <c r="F220" s="20"/>
      <c r="G220" s="20"/>
      <c r="H220" s="11" t="str">
        <f aca="false">IF(B220="","",IFERROR(INDEX(Program!$H$2:$H$75,MATCH(B220,Program!$D$2:$D$75,0)),""))</f>
        <v/>
      </c>
      <c r="I220" s="11" t="str">
        <f aca="false">IF(B220="","",IFERROR(INDEX(Program!$I$2:$I$75,MATCH(B220,Program!$D$2:$D$75,0)),""))</f>
        <v/>
      </c>
      <c r="J220" s="11" t="str">
        <f aca="false">IF(COUNT(D220:G220)=0,"",COUNT(D220:G220))</f>
        <v/>
      </c>
      <c r="K220" s="12" t="str">
        <f aca="false">IF(OR(J220="",I220=""),"",IF(MIN(D220:G220)&gt;=I220,"Add load (smallest step)",IF(MAX(D220:G220)&lt;H220,"Below range: if again, drop 5–10%","Same load, add reps")))</f>
        <v/>
      </c>
      <c r="L220" s="20"/>
      <c r="M220" s="11" t="str">
        <f aca="false">IF(OR(L220="",C220="",H220="",C220=0),"",MAX(H220,ROUNDUP(30*((L220/C220)*(1+H220/30)-1),0)))</f>
        <v/>
      </c>
    </row>
    <row r="221" customFormat="false" ht="15" hidden="false" customHeight="false" outlineLevel="0" collapsed="false">
      <c r="A221" s="51"/>
      <c r="B221" s="54"/>
      <c r="C221" s="20"/>
      <c r="D221" s="20"/>
      <c r="E221" s="20"/>
      <c r="F221" s="20"/>
      <c r="G221" s="20"/>
      <c r="H221" s="11" t="str">
        <f aca="false">IF(B221="","",IFERROR(INDEX(Program!$H$2:$H$75,MATCH(B221,Program!$D$2:$D$75,0)),""))</f>
        <v/>
      </c>
      <c r="I221" s="11" t="str">
        <f aca="false">IF(B221="","",IFERROR(INDEX(Program!$I$2:$I$75,MATCH(B221,Program!$D$2:$D$75,0)),""))</f>
        <v/>
      </c>
      <c r="J221" s="11" t="str">
        <f aca="false">IF(COUNT(D221:G221)=0,"",COUNT(D221:G221))</f>
        <v/>
      </c>
      <c r="K221" s="12" t="str">
        <f aca="false">IF(OR(J221="",I221=""),"",IF(MIN(D221:G221)&gt;=I221,"Add load (smallest step)",IF(MAX(D221:G221)&lt;H221,"Below range: if again, drop 5–10%","Same load, add reps")))</f>
        <v/>
      </c>
      <c r="L221" s="20"/>
      <c r="M221" s="11" t="str">
        <f aca="false">IF(OR(L221="",C221="",H221="",C221=0),"",MAX(H221,ROUNDUP(30*((L221/C221)*(1+H221/30)-1),0)))</f>
        <v/>
      </c>
    </row>
    <row r="222" customFormat="false" ht="15" hidden="false" customHeight="false" outlineLevel="0" collapsed="false">
      <c r="A222" s="51"/>
      <c r="B222" s="54"/>
      <c r="C222" s="20"/>
      <c r="D222" s="20"/>
      <c r="E222" s="20"/>
      <c r="F222" s="20"/>
      <c r="G222" s="20"/>
      <c r="H222" s="11" t="str">
        <f aca="false">IF(B222="","",IFERROR(INDEX(Program!$H$2:$H$75,MATCH(B222,Program!$D$2:$D$75,0)),""))</f>
        <v/>
      </c>
      <c r="I222" s="11" t="str">
        <f aca="false">IF(B222="","",IFERROR(INDEX(Program!$I$2:$I$75,MATCH(B222,Program!$D$2:$D$75,0)),""))</f>
        <v/>
      </c>
      <c r="J222" s="11" t="str">
        <f aca="false">IF(COUNT(D222:G222)=0,"",COUNT(D222:G222))</f>
        <v/>
      </c>
      <c r="K222" s="12" t="str">
        <f aca="false">IF(OR(J222="",I222=""),"",IF(MIN(D222:G222)&gt;=I222,"Add load (smallest step)",IF(MAX(D222:G222)&lt;H222,"Below range: if again, drop 5–10%","Same load, add reps")))</f>
        <v/>
      </c>
      <c r="L222" s="20"/>
      <c r="M222" s="11" t="str">
        <f aca="false">IF(OR(L222="",C222="",H222="",C222=0),"",MAX(H222,ROUNDUP(30*((L222/C222)*(1+H222/30)-1),0)))</f>
        <v/>
      </c>
    </row>
    <row r="223" customFormat="false" ht="15" hidden="false" customHeight="false" outlineLevel="0" collapsed="false">
      <c r="A223" s="51"/>
      <c r="B223" s="54"/>
      <c r="C223" s="20"/>
      <c r="D223" s="20"/>
      <c r="E223" s="20"/>
      <c r="F223" s="20"/>
      <c r="G223" s="20"/>
      <c r="H223" s="11" t="str">
        <f aca="false">IF(B223="","",IFERROR(INDEX(Program!$H$2:$H$75,MATCH(B223,Program!$D$2:$D$75,0)),""))</f>
        <v/>
      </c>
      <c r="I223" s="11" t="str">
        <f aca="false">IF(B223="","",IFERROR(INDEX(Program!$I$2:$I$75,MATCH(B223,Program!$D$2:$D$75,0)),""))</f>
        <v/>
      </c>
      <c r="J223" s="11" t="str">
        <f aca="false">IF(COUNT(D223:G223)=0,"",COUNT(D223:G223))</f>
        <v/>
      </c>
      <c r="K223" s="12" t="str">
        <f aca="false">IF(OR(J223="",I223=""),"",IF(MIN(D223:G223)&gt;=I223,"Add load (smallest step)",IF(MAX(D223:G223)&lt;H223,"Below range: if again, drop 5–10%","Same load, add reps")))</f>
        <v/>
      </c>
      <c r="L223" s="20"/>
      <c r="M223" s="11" t="str">
        <f aca="false">IF(OR(L223="",C223="",H223="",C223=0),"",MAX(H223,ROUNDUP(30*((L223/C223)*(1+H223/30)-1),0)))</f>
        <v/>
      </c>
    </row>
    <row r="224" customFormat="false" ht="15" hidden="false" customHeight="false" outlineLevel="0" collapsed="false">
      <c r="A224" s="51"/>
      <c r="B224" s="54"/>
      <c r="C224" s="20"/>
      <c r="D224" s="20"/>
      <c r="E224" s="20"/>
      <c r="F224" s="20"/>
      <c r="G224" s="20"/>
      <c r="H224" s="11" t="str">
        <f aca="false">IF(B224="","",IFERROR(INDEX(Program!$H$2:$H$75,MATCH(B224,Program!$D$2:$D$75,0)),""))</f>
        <v/>
      </c>
      <c r="I224" s="11" t="str">
        <f aca="false">IF(B224="","",IFERROR(INDEX(Program!$I$2:$I$75,MATCH(B224,Program!$D$2:$D$75,0)),""))</f>
        <v/>
      </c>
      <c r="J224" s="11" t="str">
        <f aca="false">IF(COUNT(D224:G224)=0,"",COUNT(D224:G224))</f>
        <v/>
      </c>
      <c r="K224" s="12" t="str">
        <f aca="false">IF(OR(J224="",I224=""),"",IF(MIN(D224:G224)&gt;=I224,"Add load (smallest step)",IF(MAX(D224:G224)&lt;H224,"Below range: if again, drop 5–10%","Same load, add reps")))</f>
        <v/>
      </c>
      <c r="L224" s="20"/>
      <c r="M224" s="11" t="str">
        <f aca="false">IF(OR(L224="",C224="",H224="",C224=0),"",MAX(H224,ROUNDUP(30*((L224/C224)*(1+H224/30)-1),0)))</f>
        <v/>
      </c>
    </row>
    <row r="225" customFormat="false" ht="15" hidden="false" customHeight="false" outlineLevel="0" collapsed="false">
      <c r="A225" s="51"/>
      <c r="B225" s="54"/>
      <c r="C225" s="20"/>
      <c r="D225" s="20"/>
      <c r="E225" s="20"/>
      <c r="F225" s="20"/>
      <c r="G225" s="20"/>
      <c r="H225" s="11" t="str">
        <f aca="false">IF(B225="","",IFERROR(INDEX(Program!$H$2:$H$75,MATCH(B225,Program!$D$2:$D$75,0)),""))</f>
        <v/>
      </c>
      <c r="I225" s="11" t="str">
        <f aca="false">IF(B225="","",IFERROR(INDEX(Program!$I$2:$I$75,MATCH(B225,Program!$D$2:$D$75,0)),""))</f>
        <v/>
      </c>
      <c r="J225" s="11" t="str">
        <f aca="false">IF(COUNT(D225:G225)=0,"",COUNT(D225:G225))</f>
        <v/>
      </c>
      <c r="K225" s="12" t="str">
        <f aca="false">IF(OR(J225="",I225=""),"",IF(MIN(D225:G225)&gt;=I225,"Add load (smallest step)",IF(MAX(D225:G225)&lt;H225,"Below range: if again, drop 5–10%","Same load, add reps")))</f>
        <v/>
      </c>
      <c r="L225" s="20"/>
      <c r="M225" s="11" t="str">
        <f aca="false">IF(OR(L225="",C225="",H225="",C225=0),"",MAX(H225,ROUNDUP(30*((L225/C225)*(1+H225/30)-1),0)))</f>
        <v/>
      </c>
    </row>
    <row r="226" customFormat="false" ht="15" hidden="false" customHeight="false" outlineLevel="0" collapsed="false">
      <c r="A226" s="51"/>
      <c r="B226" s="54"/>
      <c r="C226" s="20"/>
      <c r="D226" s="20"/>
      <c r="E226" s="20"/>
      <c r="F226" s="20"/>
      <c r="G226" s="20"/>
      <c r="H226" s="11" t="str">
        <f aca="false">IF(B226="","",IFERROR(INDEX(Program!$H$2:$H$75,MATCH(B226,Program!$D$2:$D$75,0)),""))</f>
        <v/>
      </c>
      <c r="I226" s="11" t="str">
        <f aca="false">IF(B226="","",IFERROR(INDEX(Program!$I$2:$I$75,MATCH(B226,Program!$D$2:$D$75,0)),""))</f>
        <v/>
      </c>
      <c r="J226" s="11" t="str">
        <f aca="false">IF(COUNT(D226:G226)=0,"",COUNT(D226:G226))</f>
        <v/>
      </c>
      <c r="K226" s="12" t="str">
        <f aca="false">IF(OR(J226="",I226=""),"",IF(MIN(D226:G226)&gt;=I226,"Add load (smallest step)",IF(MAX(D226:G226)&lt;H226,"Below range: if again, drop 5–10%","Same load, add reps")))</f>
        <v/>
      </c>
      <c r="L226" s="20"/>
      <c r="M226" s="11" t="str">
        <f aca="false">IF(OR(L226="",C226="",H226="",C226=0),"",MAX(H226,ROUNDUP(30*((L226/C226)*(1+H226/30)-1),0)))</f>
        <v/>
      </c>
    </row>
    <row r="227" customFormat="false" ht="15" hidden="false" customHeight="false" outlineLevel="0" collapsed="false">
      <c r="A227" s="51"/>
      <c r="B227" s="54"/>
      <c r="C227" s="20"/>
      <c r="D227" s="20"/>
      <c r="E227" s="20"/>
      <c r="F227" s="20"/>
      <c r="G227" s="20"/>
      <c r="H227" s="11" t="str">
        <f aca="false">IF(B227="","",IFERROR(INDEX(Program!$H$2:$H$75,MATCH(B227,Program!$D$2:$D$75,0)),""))</f>
        <v/>
      </c>
      <c r="I227" s="11" t="str">
        <f aca="false">IF(B227="","",IFERROR(INDEX(Program!$I$2:$I$75,MATCH(B227,Program!$D$2:$D$75,0)),""))</f>
        <v/>
      </c>
      <c r="J227" s="11" t="str">
        <f aca="false">IF(COUNT(D227:G227)=0,"",COUNT(D227:G227))</f>
        <v/>
      </c>
      <c r="K227" s="12" t="str">
        <f aca="false">IF(OR(J227="",I227=""),"",IF(MIN(D227:G227)&gt;=I227,"Add load (smallest step)",IF(MAX(D227:G227)&lt;H227,"Below range: if again, drop 5–10%","Same load, add reps")))</f>
        <v/>
      </c>
      <c r="L227" s="20"/>
      <c r="M227" s="11" t="str">
        <f aca="false">IF(OR(L227="",C227="",H227="",C227=0),"",MAX(H227,ROUNDUP(30*((L227/C227)*(1+H227/30)-1),0)))</f>
        <v/>
      </c>
    </row>
    <row r="228" customFormat="false" ht="15" hidden="false" customHeight="false" outlineLevel="0" collapsed="false">
      <c r="A228" s="51"/>
      <c r="B228" s="54"/>
      <c r="C228" s="20"/>
      <c r="D228" s="20"/>
      <c r="E228" s="20"/>
      <c r="F228" s="20"/>
      <c r="G228" s="20"/>
      <c r="H228" s="11" t="str">
        <f aca="false">IF(B228="","",IFERROR(INDEX(Program!$H$2:$H$75,MATCH(B228,Program!$D$2:$D$75,0)),""))</f>
        <v/>
      </c>
      <c r="I228" s="11" t="str">
        <f aca="false">IF(B228="","",IFERROR(INDEX(Program!$I$2:$I$75,MATCH(B228,Program!$D$2:$D$75,0)),""))</f>
        <v/>
      </c>
      <c r="J228" s="11" t="str">
        <f aca="false">IF(COUNT(D228:G228)=0,"",COUNT(D228:G228))</f>
        <v/>
      </c>
      <c r="K228" s="12" t="str">
        <f aca="false">IF(OR(J228="",I228=""),"",IF(MIN(D228:G228)&gt;=I228,"Add load (smallest step)",IF(MAX(D228:G228)&lt;H228,"Below range: if again, drop 5–10%","Same load, add reps")))</f>
        <v/>
      </c>
      <c r="L228" s="20"/>
      <c r="M228" s="11" t="str">
        <f aca="false">IF(OR(L228="",C228="",H228="",C228=0),"",MAX(H228,ROUNDUP(30*((L228/C228)*(1+H228/30)-1),0)))</f>
        <v/>
      </c>
    </row>
    <row r="229" customFormat="false" ht="15" hidden="false" customHeight="false" outlineLevel="0" collapsed="false">
      <c r="A229" s="51"/>
      <c r="B229" s="54"/>
      <c r="C229" s="20"/>
      <c r="D229" s="20"/>
      <c r="E229" s="20"/>
      <c r="F229" s="20"/>
      <c r="G229" s="20"/>
      <c r="H229" s="11" t="str">
        <f aca="false">IF(B229="","",IFERROR(INDEX(Program!$H$2:$H$75,MATCH(B229,Program!$D$2:$D$75,0)),""))</f>
        <v/>
      </c>
      <c r="I229" s="11" t="str">
        <f aca="false">IF(B229="","",IFERROR(INDEX(Program!$I$2:$I$75,MATCH(B229,Program!$D$2:$D$75,0)),""))</f>
        <v/>
      </c>
      <c r="J229" s="11" t="str">
        <f aca="false">IF(COUNT(D229:G229)=0,"",COUNT(D229:G229))</f>
        <v/>
      </c>
      <c r="K229" s="12" t="str">
        <f aca="false">IF(OR(J229="",I229=""),"",IF(MIN(D229:G229)&gt;=I229,"Add load (smallest step)",IF(MAX(D229:G229)&lt;H229,"Below range: if again, drop 5–10%","Same load, add reps")))</f>
        <v/>
      </c>
      <c r="L229" s="20"/>
      <c r="M229" s="11" t="str">
        <f aca="false">IF(OR(L229="",C229="",H229="",C229=0),"",MAX(H229,ROUNDUP(30*((L229/C229)*(1+H229/30)-1),0)))</f>
        <v/>
      </c>
    </row>
    <row r="230" customFormat="false" ht="15" hidden="false" customHeight="false" outlineLevel="0" collapsed="false">
      <c r="A230" s="51"/>
      <c r="B230" s="54"/>
      <c r="C230" s="20"/>
      <c r="D230" s="20"/>
      <c r="E230" s="20"/>
      <c r="F230" s="20"/>
      <c r="G230" s="20"/>
      <c r="H230" s="11" t="str">
        <f aca="false">IF(B230="","",IFERROR(INDEX(Program!$H$2:$H$75,MATCH(B230,Program!$D$2:$D$75,0)),""))</f>
        <v/>
      </c>
      <c r="I230" s="11" t="str">
        <f aca="false">IF(B230="","",IFERROR(INDEX(Program!$I$2:$I$75,MATCH(B230,Program!$D$2:$D$75,0)),""))</f>
        <v/>
      </c>
      <c r="J230" s="11" t="str">
        <f aca="false">IF(COUNT(D230:G230)=0,"",COUNT(D230:G230))</f>
        <v/>
      </c>
      <c r="K230" s="12" t="str">
        <f aca="false">IF(OR(J230="",I230=""),"",IF(MIN(D230:G230)&gt;=I230,"Add load (smallest step)",IF(MAX(D230:G230)&lt;H230,"Below range: if again, drop 5–10%","Same load, add reps")))</f>
        <v/>
      </c>
      <c r="L230" s="20"/>
      <c r="M230" s="11" t="str">
        <f aca="false">IF(OR(L230="",C230="",H230="",C230=0),"",MAX(H230,ROUNDUP(30*((L230/C230)*(1+H230/30)-1),0)))</f>
        <v/>
      </c>
    </row>
    <row r="231" customFormat="false" ht="15" hidden="false" customHeight="false" outlineLevel="0" collapsed="false">
      <c r="A231" s="51"/>
      <c r="B231" s="54"/>
      <c r="C231" s="20"/>
      <c r="D231" s="20"/>
      <c r="E231" s="20"/>
      <c r="F231" s="20"/>
      <c r="G231" s="20"/>
      <c r="H231" s="11" t="str">
        <f aca="false">IF(B231="","",IFERROR(INDEX(Program!$H$2:$H$75,MATCH(B231,Program!$D$2:$D$75,0)),""))</f>
        <v/>
      </c>
      <c r="I231" s="11" t="str">
        <f aca="false">IF(B231="","",IFERROR(INDEX(Program!$I$2:$I$75,MATCH(B231,Program!$D$2:$D$75,0)),""))</f>
        <v/>
      </c>
      <c r="J231" s="11" t="str">
        <f aca="false">IF(COUNT(D231:G231)=0,"",COUNT(D231:G231))</f>
        <v/>
      </c>
      <c r="K231" s="12" t="str">
        <f aca="false">IF(OR(J231="",I231=""),"",IF(MIN(D231:G231)&gt;=I231,"Add load (smallest step)",IF(MAX(D231:G231)&lt;H231,"Below range: if again, drop 5–10%","Same load, add reps")))</f>
        <v/>
      </c>
      <c r="L231" s="20"/>
      <c r="M231" s="11" t="str">
        <f aca="false">IF(OR(L231="",C231="",H231="",C231=0),"",MAX(H231,ROUNDUP(30*((L231/C231)*(1+H231/30)-1),0)))</f>
        <v/>
      </c>
    </row>
    <row r="232" customFormat="false" ht="15" hidden="false" customHeight="false" outlineLevel="0" collapsed="false">
      <c r="A232" s="51"/>
      <c r="B232" s="54"/>
      <c r="C232" s="20"/>
      <c r="D232" s="20"/>
      <c r="E232" s="20"/>
      <c r="F232" s="20"/>
      <c r="G232" s="20"/>
      <c r="H232" s="11" t="str">
        <f aca="false">IF(B232="","",IFERROR(INDEX(Program!$H$2:$H$75,MATCH(B232,Program!$D$2:$D$75,0)),""))</f>
        <v/>
      </c>
      <c r="I232" s="11" t="str">
        <f aca="false">IF(B232="","",IFERROR(INDEX(Program!$I$2:$I$75,MATCH(B232,Program!$D$2:$D$75,0)),""))</f>
        <v/>
      </c>
      <c r="J232" s="11" t="str">
        <f aca="false">IF(COUNT(D232:G232)=0,"",COUNT(D232:G232))</f>
        <v/>
      </c>
      <c r="K232" s="12" t="str">
        <f aca="false">IF(OR(J232="",I232=""),"",IF(MIN(D232:G232)&gt;=I232,"Add load (smallest step)",IF(MAX(D232:G232)&lt;H232,"Below range: if again, drop 5–10%","Same load, add reps")))</f>
        <v/>
      </c>
      <c r="L232" s="20"/>
      <c r="M232" s="11" t="str">
        <f aca="false">IF(OR(L232="",C232="",H232="",C232=0),"",MAX(H232,ROUNDUP(30*((L232/C232)*(1+H232/30)-1),0)))</f>
        <v/>
      </c>
    </row>
    <row r="233" customFormat="false" ht="15" hidden="false" customHeight="false" outlineLevel="0" collapsed="false">
      <c r="A233" s="51"/>
      <c r="B233" s="54"/>
      <c r="C233" s="20"/>
      <c r="D233" s="20"/>
      <c r="E233" s="20"/>
      <c r="F233" s="20"/>
      <c r="G233" s="20"/>
      <c r="H233" s="11" t="str">
        <f aca="false">IF(B233="","",IFERROR(INDEX(Program!$H$2:$H$75,MATCH(B233,Program!$D$2:$D$75,0)),""))</f>
        <v/>
      </c>
      <c r="I233" s="11" t="str">
        <f aca="false">IF(B233="","",IFERROR(INDEX(Program!$I$2:$I$75,MATCH(B233,Program!$D$2:$D$75,0)),""))</f>
        <v/>
      </c>
      <c r="J233" s="11" t="str">
        <f aca="false">IF(COUNT(D233:G233)=0,"",COUNT(D233:G233))</f>
        <v/>
      </c>
      <c r="K233" s="12" t="str">
        <f aca="false">IF(OR(J233="",I233=""),"",IF(MIN(D233:G233)&gt;=I233,"Add load (smallest step)",IF(MAX(D233:G233)&lt;H233,"Below range: if again, drop 5–10%","Same load, add reps")))</f>
        <v/>
      </c>
      <c r="L233" s="20"/>
      <c r="M233" s="11" t="str">
        <f aca="false">IF(OR(L233="",C233="",H233="",C233=0),"",MAX(H233,ROUNDUP(30*((L233/C233)*(1+H233/30)-1),0)))</f>
        <v/>
      </c>
    </row>
    <row r="234" customFormat="false" ht="15" hidden="false" customHeight="false" outlineLevel="0" collapsed="false">
      <c r="A234" s="51"/>
      <c r="B234" s="54"/>
      <c r="C234" s="20"/>
      <c r="D234" s="20"/>
      <c r="E234" s="20"/>
      <c r="F234" s="20"/>
      <c r="G234" s="20"/>
      <c r="H234" s="11" t="str">
        <f aca="false">IF(B234="","",IFERROR(INDEX(Program!$H$2:$H$75,MATCH(B234,Program!$D$2:$D$75,0)),""))</f>
        <v/>
      </c>
      <c r="I234" s="11" t="str">
        <f aca="false">IF(B234="","",IFERROR(INDEX(Program!$I$2:$I$75,MATCH(B234,Program!$D$2:$D$75,0)),""))</f>
        <v/>
      </c>
      <c r="J234" s="11" t="str">
        <f aca="false">IF(COUNT(D234:G234)=0,"",COUNT(D234:G234))</f>
        <v/>
      </c>
      <c r="K234" s="12" t="str">
        <f aca="false">IF(OR(J234="",I234=""),"",IF(MIN(D234:G234)&gt;=I234,"Add load (smallest step)",IF(MAX(D234:G234)&lt;H234,"Below range: if again, drop 5–10%","Same load, add reps")))</f>
        <v/>
      </c>
      <c r="L234" s="20"/>
      <c r="M234" s="11" t="str">
        <f aca="false">IF(OR(L234="",C234="",H234="",C234=0),"",MAX(H234,ROUNDUP(30*((L234/C234)*(1+H234/30)-1),0)))</f>
        <v/>
      </c>
    </row>
    <row r="235" customFormat="false" ht="15" hidden="false" customHeight="false" outlineLevel="0" collapsed="false">
      <c r="A235" s="51"/>
      <c r="B235" s="54"/>
      <c r="C235" s="20"/>
      <c r="D235" s="20"/>
      <c r="E235" s="20"/>
      <c r="F235" s="20"/>
      <c r="G235" s="20"/>
      <c r="H235" s="11" t="str">
        <f aca="false">IF(B235="","",IFERROR(INDEX(Program!$H$2:$H$75,MATCH(B235,Program!$D$2:$D$75,0)),""))</f>
        <v/>
      </c>
      <c r="I235" s="11" t="str">
        <f aca="false">IF(B235="","",IFERROR(INDEX(Program!$I$2:$I$75,MATCH(B235,Program!$D$2:$D$75,0)),""))</f>
        <v/>
      </c>
      <c r="J235" s="11" t="str">
        <f aca="false">IF(COUNT(D235:G235)=0,"",COUNT(D235:G235))</f>
        <v/>
      </c>
      <c r="K235" s="12" t="str">
        <f aca="false">IF(OR(J235="",I235=""),"",IF(MIN(D235:G235)&gt;=I235,"Add load (smallest step)",IF(MAX(D235:G235)&lt;H235,"Below range: if again, drop 5–10%","Same load, add reps")))</f>
        <v/>
      </c>
      <c r="L235" s="20"/>
      <c r="M235" s="11" t="str">
        <f aca="false">IF(OR(L235="",C235="",H235="",C235=0),"",MAX(H235,ROUNDUP(30*((L235/C235)*(1+H235/30)-1),0)))</f>
        <v/>
      </c>
    </row>
    <row r="236" customFormat="false" ht="15" hidden="false" customHeight="false" outlineLevel="0" collapsed="false">
      <c r="A236" s="51"/>
      <c r="B236" s="54"/>
      <c r="C236" s="20"/>
      <c r="D236" s="20"/>
      <c r="E236" s="20"/>
      <c r="F236" s="20"/>
      <c r="G236" s="20"/>
      <c r="H236" s="11" t="str">
        <f aca="false">IF(B236="","",IFERROR(INDEX(Program!$H$2:$H$75,MATCH(B236,Program!$D$2:$D$75,0)),""))</f>
        <v/>
      </c>
      <c r="I236" s="11" t="str">
        <f aca="false">IF(B236="","",IFERROR(INDEX(Program!$I$2:$I$75,MATCH(B236,Program!$D$2:$D$75,0)),""))</f>
        <v/>
      </c>
      <c r="J236" s="11" t="str">
        <f aca="false">IF(COUNT(D236:G236)=0,"",COUNT(D236:G236))</f>
        <v/>
      </c>
      <c r="K236" s="12" t="str">
        <f aca="false">IF(OR(J236="",I236=""),"",IF(MIN(D236:G236)&gt;=I236,"Add load (smallest step)",IF(MAX(D236:G236)&lt;H236,"Below range: if again, drop 5–10%","Same load, add reps")))</f>
        <v/>
      </c>
      <c r="L236" s="20"/>
      <c r="M236" s="11" t="str">
        <f aca="false">IF(OR(L236="",C236="",H236="",C236=0),"",MAX(H236,ROUNDUP(30*((L236/C236)*(1+H236/30)-1),0)))</f>
        <v/>
      </c>
    </row>
    <row r="237" customFormat="false" ht="15" hidden="false" customHeight="false" outlineLevel="0" collapsed="false">
      <c r="A237" s="51"/>
      <c r="B237" s="54"/>
      <c r="C237" s="20"/>
      <c r="D237" s="20"/>
      <c r="E237" s="20"/>
      <c r="F237" s="20"/>
      <c r="G237" s="20"/>
      <c r="H237" s="11" t="str">
        <f aca="false">IF(B237="","",IFERROR(INDEX(Program!$H$2:$H$75,MATCH(B237,Program!$D$2:$D$75,0)),""))</f>
        <v/>
      </c>
      <c r="I237" s="11" t="str">
        <f aca="false">IF(B237="","",IFERROR(INDEX(Program!$I$2:$I$75,MATCH(B237,Program!$D$2:$D$75,0)),""))</f>
        <v/>
      </c>
      <c r="J237" s="11" t="str">
        <f aca="false">IF(COUNT(D237:G237)=0,"",COUNT(D237:G237))</f>
        <v/>
      </c>
      <c r="K237" s="12" t="str">
        <f aca="false">IF(OR(J237="",I237=""),"",IF(MIN(D237:G237)&gt;=I237,"Add load (smallest step)",IF(MAX(D237:G237)&lt;H237,"Below range: if again, drop 5–10%","Same load, add reps")))</f>
        <v/>
      </c>
      <c r="L237" s="20"/>
      <c r="M237" s="11" t="str">
        <f aca="false">IF(OR(L237="",C237="",H237="",C237=0),"",MAX(H237,ROUNDUP(30*((L237/C237)*(1+H237/30)-1),0)))</f>
        <v/>
      </c>
    </row>
    <row r="238" customFormat="false" ht="15" hidden="false" customHeight="false" outlineLevel="0" collapsed="false">
      <c r="A238" s="51"/>
      <c r="B238" s="54"/>
      <c r="C238" s="20"/>
      <c r="D238" s="20"/>
      <c r="E238" s="20"/>
      <c r="F238" s="20"/>
      <c r="G238" s="20"/>
      <c r="H238" s="11" t="str">
        <f aca="false">IF(B238="","",IFERROR(INDEX(Program!$H$2:$H$75,MATCH(B238,Program!$D$2:$D$75,0)),""))</f>
        <v/>
      </c>
      <c r="I238" s="11" t="str">
        <f aca="false">IF(B238="","",IFERROR(INDEX(Program!$I$2:$I$75,MATCH(B238,Program!$D$2:$D$75,0)),""))</f>
        <v/>
      </c>
      <c r="J238" s="11" t="str">
        <f aca="false">IF(COUNT(D238:G238)=0,"",COUNT(D238:G238))</f>
        <v/>
      </c>
      <c r="K238" s="12" t="str">
        <f aca="false">IF(OR(J238="",I238=""),"",IF(MIN(D238:G238)&gt;=I238,"Add load (smallest step)",IF(MAX(D238:G238)&lt;H238,"Below range: if again, drop 5–10%","Same load, add reps")))</f>
        <v/>
      </c>
      <c r="L238" s="20"/>
      <c r="M238" s="11" t="str">
        <f aca="false">IF(OR(L238="",C238="",H238="",C238=0),"",MAX(H238,ROUNDUP(30*((L238/C238)*(1+H238/30)-1),0)))</f>
        <v/>
      </c>
    </row>
    <row r="239" customFormat="false" ht="15" hidden="false" customHeight="false" outlineLevel="0" collapsed="false">
      <c r="A239" s="51"/>
      <c r="B239" s="54"/>
      <c r="C239" s="20"/>
      <c r="D239" s="20"/>
      <c r="E239" s="20"/>
      <c r="F239" s="20"/>
      <c r="G239" s="20"/>
      <c r="H239" s="11" t="str">
        <f aca="false">IF(B239="","",IFERROR(INDEX(Program!$H$2:$H$75,MATCH(B239,Program!$D$2:$D$75,0)),""))</f>
        <v/>
      </c>
      <c r="I239" s="11" t="str">
        <f aca="false">IF(B239="","",IFERROR(INDEX(Program!$I$2:$I$75,MATCH(B239,Program!$D$2:$D$75,0)),""))</f>
        <v/>
      </c>
      <c r="J239" s="11" t="str">
        <f aca="false">IF(COUNT(D239:G239)=0,"",COUNT(D239:G239))</f>
        <v/>
      </c>
      <c r="K239" s="12" t="str">
        <f aca="false">IF(OR(J239="",I239=""),"",IF(MIN(D239:G239)&gt;=I239,"Add load (smallest step)",IF(MAX(D239:G239)&lt;H239,"Below range: if again, drop 5–10%","Same load, add reps")))</f>
        <v/>
      </c>
      <c r="L239" s="20"/>
      <c r="M239" s="11" t="str">
        <f aca="false">IF(OR(L239="",C239="",H239="",C239=0),"",MAX(H239,ROUNDUP(30*((L239/C239)*(1+H239/30)-1),0)))</f>
        <v/>
      </c>
    </row>
    <row r="240" customFormat="false" ht="15" hidden="false" customHeight="false" outlineLevel="0" collapsed="false">
      <c r="A240" s="51"/>
      <c r="B240" s="54"/>
      <c r="C240" s="20"/>
      <c r="D240" s="20"/>
      <c r="E240" s="20"/>
      <c r="F240" s="20"/>
      <c r="G240" s="20"/>
      <c r="H240" s="11" t="str">
        <f aca="false">IF(B240="","",IFERROR(INDEX(Program!$H$2:$H$75,MATCH(B240,Program!$D$2:$D$75,0)),""))</f>
        <v/>
      </c>
      <c r="I240" s="11" t="str">
        <f aca="false">IF(B240="","",IFERROR(INDEX(Program!$I$2:$I$75,MATCH(B240,Program!$D$2:$D$75,0)),""))</f>
        <v/>
      </c>
      <c r="J240" s="11" t="str">
        <f aca="false">IF(COUNT(D240:G240)=0,"",COUNT(D240:G240))</f>
        <v/>
      </c>
      <c r="K240" s="12" t="str">
        <f aca="false">IF(OR(J240="",I240=""),"",IF(MIN(D240:G240)&gt;=I240,"Add load (smallest step)",IF(MAX(D240:G240)&lt;H240,"Below range: if again, drop 5–10%","Same load, add reps")))</f>
        <v/>
      </c>
      <c r="L240" s="20"/>
      <c r="M240" s="11" t="str">
        <f aca="false">IF(OR(L240="",C240="",H240="",C240=0),"",MAX(H240,ROUNDUP(30*((L240/C240)*(1+H240/30)-1),0)))</f>
        <v/>
      </c>
    </row>
    <row r="241" customFormat="false" ht="15" hidden="false" customHeight="false" outlineLevel="0" collapsed="false">
      <c r="A241" s="51"/>
      <c r="B241" s="54"/>
      <c r="C241" s="20"/>
      <c r="D241" s="20"/>
      <c r="E241" s="20"/>
      <c r="F241" s="20"/>
      <c r="G241" s="20"/>
      <c r="H241" s="11" t="str">
        <f aca="false">IF(B241="","",IFERROR(INDEX(Program!$H$2:$H$75,MATCH(B241,Program!$D$2:$D$75,0)),""))</f>
        <v/>
      </c>
      <c r="I241" s="11" t="str">
        <f aca="false">IF(B241="","",IFERROR(INDEX(Program!$I$2:$I$75,MATCH(B241,Program!$D$2:$D$75,0)),""))</f>
        <v/>
      </c>
      <c r="J241" s="11" t="str">
        <f aca="false">IF(COUNT(D241:G241)=0,"",COUNT(D241:G241))</f>
        <v/>
      </c>
      <c r="K241" s="12" t="str">
        <f aca="false">IF(OR(J241="",I241=""),"",IF(MIN(D241:G241)&gt;=I241,"Add load (smallest step)",IF(MAX(D241:G241)&lt;H241,"Below range: if again, drop 5–10%","Same load, add reps")))</f>
        <v/>
      </c>
      <c r="L241" s="20"/>
      <c r="M241" s="11" t="str">
        <f aca="false">IF(OR(L241="",C241="",H241="",C241=0),"",MAX(H241,ROUNDUP(30*((L241/C241)*(1+H241/30)-1),0)))</f>
        <v/>
      </c>
    </row>
    <row r="242" customFormat="false" ht="15" hidden="false" customHeight="false" outlineLevel="0" collapsed="false">
      <c r="A242" s="51"/>
      <c r="B242" s="54"/>
      <c r="C242" s="20"/>
      <c r="D242" s="20"/>
      <c r="E242" s="20"/>
      <c r="F242" s="20"/>
      <c r="G242" s="20"/>
      <c r="H242" s="11" t="str">
        <f aca="false">IF(B242="","",IFERROR(INDEX(Program!$H$2:$H$75,MATCH(B242,Program!$D$2:$D$75,0)),""))</f>
        <v/>
      </c>
      <c r="I242" s="11" t="str">
        <f aca="false">IF(B242="","",IFERROR(INDEX(Program!$I$2:$I$75,MATCH(B242,Program!$D$2:$D$75,0)),""))</f>
        <v/>
      </c>
      <c r="J242" s="11" t="str">
        <f aca="false">IF(COUNT(D242:G242)=0,"",COUNT(D242:G242))</f>
        <v/>
      </c>
      <c r="K242" s="12" t="str">
        <f aca="false">IF(OR(J242="",I242=""),"",IF(MIN(D242:G242)&gt;=I242,"Add load (smallest step)",IF(MAX(D242:G242)&lt;H242,"Below range: if again, drop 5–10%","Same load, add reps")))</f>
        <v/>
      </c>
      <c r="L242" s="20"/>
      <c r="M242" s="11" t="str">
        <f aca="false">IF(OR(L242="",C242="",H242="",C242=0),"",MAX(H242,ROUNDUP(30*((L242/C242)*(1+H242/30)-1),0)))</f>
        <v/>
      </c>
    </row>
    <row r="243" customFormat="false" ht="15" hidden="false" customHeight="false" outlineLevel="0" collapsed="false">
      <c r="A243" s="51"/>
      <c r="B243" s="54"/>
      <c r="C243" s="20"/>
      <c r="D243" s="20"/>
      <c r="E243" s="20"/>
      <c r="F243" s="20"/>
      <c r="G243" s="20"/>
      <c r="H243" s="11" t="str">
        <f aca="false">IF(B243="","",IFERROR(INDEX(Program!$H$2:$H$75,MATCH(B243,Program!$D$2:$D$75,0)),""))</f>
        <v/>
      </c>
      <c r="I243" s="11" t="str">
        <f aca="false">IF(B243="","",IFERROR(INDEX(Program!$I$2:$I$75,MATCH(B243,Program!$D$2:$D$75,0)),""))</f>
        <v/>
      </c>
      <c r="J243" s="11" t="str">
        <f aca="false">IF(COUNT(D243:G243)=0,"",COUNT(D243:G243))</f>
        <v/>
      </c>
      <c r="K243" s="12" t="str">
        <f aca="false">IF(OR(J243="",I243=""),"",IF(MIN(D243:G243)&gt;=I243,"Add load (smallest step)",IF(MAX(D243:G243)&lt;H243,"Below range: if again, drop 5–10%","Same load, add reps")))</f>
        <v/>
      </c>
      <c r="L243" s="20"/>
      <c r="M243" s="11" t="str">
        <f aca="false">IF(OR(L243="",C243="",H243="",C243=0),"",MAX(H243,ROUNDUP(30*((L243/C243)*(1+H243/30)-1),0)))</f>
        <v/>
      </c>
    </row>
    <row r="244" customFormat="false" ht="15" hidden="false" customHeight="false" outlineLevel="0" collapsed="false">
      <c r="A244" s="51"/>
      <c r="B244" s="54"/>
      <c r="C244" s="20"/>
      <c r="D244" s="20"/>
      <c r="E244" s="20"/>
      <c r="F244" s="20"/>
      <c r="G244" s="20"/>
      <c r="H244" s="11" t="str">
        <f aca="false">IF(B244="","",IFERROR(INDEX(Program!$H$2:$H$75,MATCH(B244,Program!$D$2:$D$75,0)),""))</f>
        <v/>
      </c>
      <c r="I244" s="11" t="str">
        <f aca="false">IF(B244="","",IFERROR(INDEX(Program!$I$2:$I$75,MATCH(B244,Program!$D$2:$D$75,0)),""))</f>
        <v/>
      </c>
      <c r="J244" s="11" t="str">
        <f aca="false">IF(COUNT(D244:G244)=0,"",COUNT(D244:G244))</f>
        <v/>
      </c>
      <c r="K244" s="12" t="str">
        <f aca="false">IF(OR(J244="",I244=""),"",IF(MIN(D244:G244)&gt;=I244,"Add load (smallest step)",IF(MAX(D244:G244)&lt;H244,"Below range: if again, drop 5–10%","Same load, add reps")))</f>
        <v/>
      </c>
      <c r="L244" s="20"/>
      <c r="M244" s="11" t="str">
        <f aca="false">IF(OR(L244="",C244="",H244="",C244=0),"",MAX(H244,ROUNDUP(30*((L244/C244)*(1+H244/30)-1),0)))</f>
        <v/>
      </c>
    </row>
    <row r="245" customFormat="false" ht="15" hidden="false" customHeight="false" outlineLevel="0" collapsed="false">
      <c r="A245" s="51"/>
      <c r="B245" s="54"/>
      <c r="C245" s="20"/>
      <c r="D245" s="20"/>
      <c r="E245" s="20"/>
      <c r="F245" s="20"/>
      <c r="G245" s="20"/>
      <c r="H245" s="11" t="str">
        <f aca="false">IF(B245="","",IFERROR(INDEX(Program!$H$2:$H$75,MATCH(B245,Program!$D$2:$D$75,0)),""))</f>
        <v/>
      </c>
      <c r="I245" s="11" t="str">
        <f aca="false">IF(B245="","",IFERROR(INDEX(Program!$I$2:$I$75,MATCH(B245,Program!$D$2:$D$75,0)),""))</f>
        <v/>
      </c>
      <c r="J245" s="11" t="str">
        <f aca="false">IF(COUNT(D245:G245)=0,"",COUNT(D245:G245))</f>
        <v/>
      </c>
      <c r="K245" s="12" t="str">
        <f aca="false">IF(OR(J245="",I245=""),"",IF(MIN(D245:G245)&gt;=I245,"Add load (smallest step)",IF(MAX(D245:G245)&lt;H245,"Below range: if again, drop 5–10%","Same load, add reps")))</f>
        <v/>
      </c>
      <c r="L245" s="20"/>
      <c r="M245" s="11" t="str">
        <f aca="false">IF(OR(L245="",C245="",H245="",C245=0),"",MAX(H245,ROUNDUP(30*((L245/C245)*(1+H245/30)-1),0)))</f>
        <v/>
      </c>
    </row>
    <row r="246" customFormat="false" ht="15" hidden="false" customHeight="false" outlineLevel="0" collapsed="false">
      <c r="A246" s="51"/>
      <c r="B246" s="54"/>
      <c r="C246" s="20"/>
      <c r="D246" s="20"/>
      <c r="E246" s="20"/>
      <c r="F246" s="20"/>
      <c r="G246" s="20"/>
      <c r="H246" s="11" t="str">
        <f aca="false">IF(B246="","",IFERROR(INDEX(Program!$H$2:$H$75,MATCH(B246,Program!$D$2:$D$75,0)),""))</f>
        <v/>
      </c>
      <c r="I246" s="11" t="str">
        <f aca="false">IF(B246="","",IFERROR(INDEX(Program!$I$2:$I$75,MATCH(B246,Program!$D$2:$D$75,0)),""))</f>
        <v/>
      </c>
      <c r="J246" s="11" t="str">
        <f aca="false">IF(COUNT(D246:G246)=0,"",COUNT(D246:G246))</f>
        <v/>
      </c>
      <c r="K246" s="12" t="str">
        <f aca="false">IF(OR(J246="",I246=""),"",IF(MIN(D246:G246)&gt;=I246,"Add load (smallest step)",IF(MAX(D246:G246)&lt;H246,"Below range: if again, drop 5–10%","Same load, add reps")))</f>
        <v/>
      </c>
      <c r="L246" s="20"/>
      <c r="M246" s="11" t="str">
        <f aca="false">IF(OR(L246="",C246="",H246="",C246=0),"",MAX(H246,ROUNDUP(30*((L246/C246)*(1+H246/30)-1),0)))</f>
        <v/>
      </c>
    </row>
    <row r="247" customFormat="false" ht="15" hidden="false" customHeight="false" outlineLevel="0" collapsed="false">
      <c r="A247" s="51"/>
      <c r="B247" s="54"/>
      <c r="C247" s="20"/>
      <c r="D247" s="20"/>
      <c r="E247" s="20"/>
      <c r="F247" s="20"/>
      <c r="G247" s="20"/>
      <c r="H247" s="11" t="str">
        <f aca="false">IF(B247="","",IFERROR(INDEX(Program!$H$2:$H$75,MATCH(B247,Program!$D$2:$D$75,0)),""))</f>
        <v/>
      </c>
      <c r="I247" s="11" t="str">
        <f aca="false">IF(B247="","",IFERROR(INDEX(Program!$I$2:$I$75,MATCH(B247,Program!$D$2:$D$75,0)),""))</f>
        <v/>
      </c>
      <c r="J247" s="11" t="str">
        <f aca="false">IF(COUNT(D247:G247)=0,"",COUNT(D247:G247))</f>
        <v/>
      </c>
      <c r="K247" s="12" t="str">
        <f aca="false">IF(OR(J247="",I247=""),"",IF(MIN(D247:G247)&gt;=I247,"Add load (smallest step)",IF(MAX(D247:G247)&lt;H247,"Below range: if again, drop 5–10%","Same load, add reps")))</f>
        <v/>
      </c>
      <c r="L247" s="20"/>
      <c r="M247" s="11" t="str">
        <f aca="false">IF(OR(L247="",C247="",H247="",C247=0),"",MAX(H247,ROUNDUP(30*((L247/C247)*(1+H247/30)-1),0)))</f>
        <v/>
      </c>
    </row>
    <row r="248" customFormat="false" ht="15" hidden="false" customHeight="false" outlineLevel="0" collapsed="false">
      <c r="A248" s="51"/>
      <c r="B248" s="54"/>
      <c r="C248" s="20"/>
      <c r="D248" s="20"/>
      <c r="E248" s="20"/>
      <c r="F248" s="20"/>
      <c r="G248" s="20"/>
      <c r="H248" s="11" t="str">
        <f aca="false">IF(B248="","",IFERROR(INDEX(Program!$H$2:$H$75,MATCH(B248,Program!$D$2:$D$75,0)),""))</f>
        <v/>
      </c>
      <c r="I248" s="11" t="str">
        <f aca="false">IF(B248="","",IFERROR(INDEX(Program!$I$2:$I$75,MATCH(B248,Program!$D$2:$D$75,0)),""))</f>
        <v/>
      </c>
      <c r="J248" s="11" t="str">
        <f aca="false">IF(COUNT(D248:G248)=0,"",COUNT(D248:G248))</f>
        <v/>
      </c>
      <c r="K248" s="12" t="str">
        <f aca="false">IF(OR(J248="",I248=""),"",IF(MIN(D248:G248)&gt;=I248,"Add load (smallest step)",IF(MAX(D248:G248)&lt;H248,"Below range: if again, drop 5–10%","Same load, add reps")))</f>
        <v/>
      </c>
      <c r="L248" s="20"/>
      <c r="M248" s="11" t="str">
        <f aca="false">IF(OR(L248="",C248="",H248="",C248=0),"",MAX(H248,ROUNDUP(30*((L248/C248)*(1+H248/30)-1),0)))</f>
        <v/>
      </c>
    </row>
    <row r="249" customFormat="false" ht="15" hidden="false" customHeight="false" outlineLevel="0" collapsed="false">
      <c r="A249" s="51"/>
      <c r="B249" s="54"/>
      <c r="C249" s="20"/>
      <c r="D249" s="20"/>
      <c r="E249" s="20"/>
      <c r="F249" s="20"/>
      <c r="G249" s="20"/>
      <c r="H249" s="11" t="str">
        <f aca="false">IF(B249="","",IFERROR(INDEX(Program!$H$2:$H$75,MATCH(B249,Program!$D$2:$D$75,0)),""))</f>
        <v/>
      </c>
      <c r="I249" s="11" t="str">
        <f aca="false">IF(B249="","",IFERROR(INDEX(Program!$I$2:$I$75,MATCH(B249,Program!$D$2:$D$75,0)),""))</f>
        <v/>
      </c>
      <c r="J249" s="11" t="str">
        <f aca="false">IF(COUNT(D249:G249)=0,"",COUNT(D249:G249))</f>
        <v/>
      </c>
      <c r="K249" s="12" t="str">
        <f aca="false">IF(OR(J249="",I249=""),"",IF(MIN(D249:G249)&gt;=I249,"Add load (smallest step)",IF(MAX(D249:G249)&lt;H249,"Below range: if again, drop 5–10%","Same load, add reps")))</f>
        <v/>
      </c>
      <c r="L249" s="20"/>
      <c r="M249" s="11" t="str">
        <f aca="false">IF(OR(L249="",C249="",H249="",C249=0),"",MAX(H249,ROUNDUP(30*((L249/C249)*(1+H249/30)-1),0)))</f>
        <v/>
      </c>
    </row>
    <row r="250" customFormat="false" ht="15" hidden="false" customHeight="false" outlineLevel="0" collapsed="false">
      <c r="A250" s="51"/>
      <c r="B250" s="54"/>
      <c r="C250" s="20"/>
      <c r="D250" s="20"/>
      <c r="E250" s="20"/>
      <c r="F250" s="20"/>
      <c r="G250" s="20"/>
      <c r="H250" s="11" t="str">
        <f aca="false">IF(B250="","",IFERROR(INDEX(Program!$H$2:$H$75,MATCH(B250,Program!$D$2:$D$75,0)),""))</f>
        <v/>
      </c>
      <c r="I250" s="11" t="str">
        <f aca="false">IF(B250="","",IFERROR(INDEX(Program!$I$2:$I$75,MATCH(B250,Program!$D$2:$D$75,0)),""))</f>
        <v/>
      </c>
      <c r="J250" s="11" t="str">
        <f aca="false">IF(COUNT(D250:G250)=0,"",COUNT(D250:G250))</f>
        <v/>
      </c>
      <c r="K250" s="12" t="str">
        <f aca="false">IF(OR(J250="",I250=""),"",IF(MIN(D250:G250)&gt;=I250,"Add load (smallest step)",IF(MAX(D250:G250)&lt;H250,"Below range: if again, drop 5–10%","Same load, add reps")))</f>
        <v/>
      </c>
      <c r="L250" s="20"/>
      <c r="M250" s="11" t="str">
        <f aca="false">IF(OR(L250="",C250="",H250="",C250=0),"",MAX(H250,ROUNDUP(30*((L250/C250)*(1+H250/30)-1),0)))</f>
        <v/>
      </c>
    </row>
    <row r="251" customFormat="false" ht="15" hidden="false" customHeight="false" outlineLevel="0" collapsed="false">
      <c r="A251" s="51"/>
      <c r="B251" s="54"/>
      <c r="C251" s="20"/>
      <c r="D251" s="20"/>
      <c r="E251" s="20"/>
      <c r="F251" s="20"/>
      <c r="G251" s="20"/>
      <c r="H251" s="11" t="str">
        <f aca="false">IF(B251="","",IFERROR(INDEX(Program!$H$2:$H$75,MATCH(B251,Program!$D$2:$D$75,0)),""))</f>
        <v/>
      </c>
      <c r="I251" s="11" t="str">
        <f aca="false">IF(B251="","",IFERROR(INDEX(Program!$I$2:$I$75,MATCH(B251,Program!$D$2:$D$75,0)),""))</f>
        <v/>
      </c>
      <c r="J251" s="11" t="str">
        <f aca="false">IF(COUNT(D251:G251)=0,"",COUNT(D251:G251))</f>
        <v/>
      </c>
      <c r="K251" s="12" t="str">
        <f aca="false">IF(OR(J251="",I251=""),"",IF(MIN(D251:G251)&gt;=I251,"Add load (smallest step)",IF(MAX(D251:G251)&lt;H251,"Below range: if again, drop 5–10%","Same load, add reps")))</f>
        <v/>
      </c>
      <c r="L251" s="20"/>
      <c r="M251" s="11" t="str">
        <f aca="false">IF(OR(L251="",C251="",H251="",C251=0),"",MAX(H251,ROUNDUP(30*((L251/C251)*(1+H251/30)-1),0)))</f>
        <v/>
      </c>
    </row>
    <row r="252" customFormat="false" ht="15" hidden="false" customHeight="false" outlineLevel="0" collapsed="false">
      <c r="A252" s="51"/>
      <c r="B252" s="54"/>
      <c r="C252" s="20"/>
      <c r="D252" s="20"/>
      <c r="E252" s="20"/>
      <c r="F252" s="20"/>
      <c r="G252" s="20"/>
      <c r="H252" s="11" t="str">
        <f aca="false">IF(B252="","",IFERROR(INDEX(Program!$H$2:$H$75,MATCH(B252,Program!$D$2:$D$75,0)),""))</f>
        <v/>
      </c>
      <c r="I252" s="11" t="str">
        <f aca="false">IF(B252="","",IFERROR(INDEX(Program!$I$2:$I$75,MATCH(B252,Program!$D$2:$D$75,0)),""))</f>
        <v/>
      </c>
      <c r="J252" s="11" t="str">
        <f aca="false">IF(COUNT(D252:G252)=0,"",COUNT(D252:G252))</f>
        <v/>
      </c>
      <c r="K252" s="12" t="str">
        <f aca="false">IF(OR(J252="",I252=""),"",IF(MIN(D252:G252)&gt;=I252,"Add load (smallest step)",IF(MAX(D252:G252)&lt;H252,"Below range: if again, drop 5–10%","Same load, add reps")))</f>
        <v/>
      </c>
      <c r="L252" s="20"/>
      <c r="M252" s="11" t="str">
        <f aca="false">IF(OR(L252="",C252="",H252="",C252=0),"",MAX(H252,ROUNDUP(30*((L252/C252)*(1+H252/30)-1),0)))</f>
        <v/>
      </c>
    </row>
    <row r="253" customFormat="false" ht="15" hidden="false" customHeight="false" outlineLevel="0" collapsed="false">
      <c r="A253" s="51"/>
      <c r="B253" s="54"/>
      <c r="C253" s="20"/>
      <c r="D253" s="20"/>
      <c r="E253" s="20"/>
      <c r="F253" s="20"/>
      <c r="G253" s="20"/>
      <c r="H253" s="11" t="str">
        <f aca="false">IF(B253="","",IFERROR(INDEX(Program!$H$2:$H$75,MATCH(B253,Program!$D$2:$D$75,0)),""))</f>
        <v/>
      </c>
      <c r="I253" s="11" t="str">
        <f aca="false">IF(B253="","",IFERROR(INDEX(Program!$I$2:$I$75,MATCH(B253,Program!$D$2:$D$75,0)),""))</f>
        <v/>
      </c>
      <c r="J253" s="11" t="str">
        <f aca="false">IF(COUNT(D253:G253)=0,"",COUNT(D253:G253))</f>
        <v/>
      </c>
      <c r="K253" s="12" t="str">
        <f aca="false">IF(OR(J253="",I253=""),"",IF(MIN(D253:G253)&gt;=I253,"Add load (smallest step)",IF(MAX(D253:G253)&lt;H253,"Below range: if again, drop 5–10%","Same load, add reps")))</f>
        <v/>
      </c>
      <c r="L253" s="20"/>
      <c r="M253" s="11" t="str">
        <f aca="false">IF(OR(L253="",C253="",H253="",C253=0),"",MAX(H253,ROUNDUP(30*((L253/C253)*(1+H253/30)-1),0)))</f>
        <v/>
      </c>
    </row>
    <row r="254" customFormat="false" ht="15" hidden="false" customHeight="false" outlineLevel="0" collapsed="false">
      <c r="A254" s="51"/>
      <c r="B254" s="54"/>
      <c r="C254" s="20"/>
      <c r="D254" s="20"/>
      <c r="E254" s="20"/>
      <c r="F254" s="20"/>
      <c r="G254" s="20"/>
      <c r="H254" s="11" t="str">
        <f aca="false">IF(B254="","",IFERROR(INDEX(Program!$H$2:$H$75,MATCH(B254,Program!$D$2:$D$75,0)),""))</f>
        <v/>
      </c>
      <c r="I254" s="11" t="str">
        <f aca="false">IF(B254="","",IFERROR(INDEX(Program!$I$2:$I$75,MATCH(B254,Program!$D$2:$D$75,0)),""))</f>
        <v/>
      </c>
      <c r="J254" s="11" t="str">
        <f aca="false">IF(COUNT(D254:G254)=0,"",COUNT(D254:G254))</f>
        <v/>
      </c>
      <c r="K254" s="12" t="str">
        <f aca="false">IF(OR(J254="",I254=""),"",IF(MIN(D254:G254)&gt;=I254,"Add load (smallest step)",IF(MAX(D254:G254)&lt;H254,"Below range: if again, drop 5–10%","Same load, add reps")))</f>
        <v/>
      </c>
      <c r="L254" s="20"/>
      <c r="M254" s="11" t="str">
        <f aca="false">IF(OR(L254="",C254="",H254="",C254=0),"",MAX(H254,ROUNDUP(30*((L254/C254)*(1+H254/30)-1),0)))</f>
        <v/>
      </c>
    </row>
    <row r="255" customFormat="false" ht="15" hidden="false" customHeight="false" outlineLevel="0" collapsed="false">
      <c r="A255" s="51"/>
      <c r="B255" s="54"/>
      <c r="C255" s="20"/>
      <c r="D255" s="20"/>
      <c r="E255" s="20"/>
      <c r="F255" s="20"/>
      <c r="G255" s="20"/>
      <c r="H255" s="11" t="str">
        <f aca="false">IF(B255="","",IFERROR(INDEX(Program!$H$2:$H$75,MATCH(B255,Program!$D$2:$D$75,0)),""))</f>
        <v/>
      </c>
      <c r="I255" s="11" t="str">
        <f aca="false">IF(B255="","",IFERROR(INDEX(Program!$I$2:$I$75,MATCH(B255,Program!$D$2:$D$75,0)),""))</f>
        <v/>
      </c>
      <c r="J255" s="11" t="str">
        <f aca="false">IF(COUNT(D255:G255)=0,"",COUNT(D255:G255))</f>
        <v/>
      </c>
      <c r="K255" s="12" t="str">
        <f aca="false">IF(OR(J255="",I255=""),"",IF(MIN(D255:G255)&gt;=I255,"Add load (smallest step)",IF(MAX(D255:G255)&lt;H255,"Below range: if again, drop 5–10%","Same load, add reps")))</f>
        <v/>
      </c>
      <c r="L255" s="20"/>
      <c r="M255" s="11" t="str">
        <f aca="false">IF(OR(L255="",C255="",H255="",C255=0),"",MAX(H255,ROUNDUP(30*((L255/C255)*(1+H255/30)-1),0)))</f>
        <v/>
      </c>
    </row>
    <row r="256" customFormat="false" ht="15" hidden="false" customHeight="false" outlineLevel="0" collapsed="false">
      <c r="A256" s="51"/>
      <c r="B256" s="54"/>
      <c r="C256" s="20"/>
      <c r="D256" s="20"/>
      <c r="E256" s="20"/>
      <c r="F256" s="20"/>
      <c r="G256" s="20"/>
      <c r="H256" s="11" t="str">
        <f aca="false">IF(B256="","",IFERROR(INDEX(Program!$H$2:$H$75,MATCH(B256,Program!$D$2:$D$75,0)),""))</f>
        <v/>
      </c>
      <c r="I256" s="11" t="str">
        <f aca="false">IF(B256="","",IFERROR(INDEX(Program!$I$2:$I$75,MATCH(B256,Program!$D$2:$D$75,0)),""))</f>
        <v/>
      </c>
      <c r="J256" s="11" t="str">
        <f aca="false">IF(COUNT(D256:G256)=0,"",COUNT(D256:G256))</f>
        <v/>
      </c>
      <c r="K256" s="12" t="str">
        <f aca="false">IF(OR(J256="",I256=""),"",IF(MIN(D256:G256)&gt;=I256,"Add load (smallest step)",IF(MAX(D256:G256)&lt;H256,"Below range: if again, drop 5–10%","Same load, add reps")))</f>
        <v/>
      </c>
      <c r="L256" s="20"/>
      <c r="M256" s="11" t="str">
        <f aca="false">IF(OR(L256="",C256="",H256="",C256=0),"",MAX(H256,ROUNDUP(30*((L256/C256)*(1+H256/30)-1),0)))</f>
        <v/>
      </c>
    </row>
    <row r="257" customFormat="false" ht="15" hidden="false" customHeight="false" outlineLevel="0" collapsed="false">
      <c r="A257" s="51"/>
      <c r="B257" s="54"/>
      <c r="C257" s="20"/>
      <c r="D257" s="20"/>
      <c r="E257" s="20"/>
      <c r="F257" s="20"/>
      <c r="G257" s="20"/>
      <c r="H257" s="11" t="str">
        <f aca="false">IF(B257="","",IFERROR(INDEX(Program!$H$2:$H$75,MATCH(B257,Program!$D$2:$D$75,0)),""))</f>
        <v/>
      </c>
      <c r="I257" s="11" t="str">
        <f aca="false">IF(B257="","",IFERROR(INDEX(Program!$I$2:$I$75,MATCH(B257,Program!$D$2:$D$75,0)),""))</f>
        <v/>
      </c>
      <c r="J257" s="11" t="str">
        <f aca="false">IF(COUNT(D257:G257)=0,"",COUNT(D257:G257))</f>
        <v/>
      </c>
      <c r="K257" s="12" t="str">
        <f aca="false">IF(OR(J257="",I257=""),"",IF(MIN(D257:G257)&gt;=I257,"Add load (smallest step)",IF(MAX(D257:G257)&lt;H257,"Below range: if again, drop 5–10%","Same load, add reps")))</f>
        <v/>
      </c>
      <c r="L257" s="20"/>
      <c r="M257" s="11" t="str">
        <f aca="false">IF(OR(L257="",C257="",H257="",C257=0),"",MAX(H257,ROUNDUP(30*((L257/C257)*(1+H257/30)-1),0)))</f>
        <v/>
      </c>
    </row>
    <row r="258" customFormat="false" ht="15" hidden="false" customHeight="false" outlineLevel="0" collapsed="false">
      <c r="A258" s="51"/>
      <c r="B258" s="54"/>
      <c r="C258" s="20"/>
      <c r="D258" s="20"/>
      <c r="E258" s="20"/>
      <c r="F258" s="20"/>
      <c r="G258" s="20"/>
      <c r="H258" s="11" t="str">
        <f aca="false">IF(B258="","",IFERROR(INDEX(Program!$H$2:$H$75,MATCH(B258,Program!$D$2:$D$75,0)),""))</f>
        <v/>
      </c>
      <c r="I258" s="11" t="str">
        <f aca="false">IF(B258="","",IFERROR(INDEX(Program!$I$2:$I$75,MATCH(B258,Program!$D$2:$D$75,0)),""))</f>
        <v/>
      </c>
      <c r="J258" s="11" t="str">
        <f aca="false">IF(COUNT(D258:G258)=0,"",COUNT(D258:G258))</f>
        <v/>
      </c>
      <c r="K258" s="12" t="str">
        <f aca="false">IF(OR(J258="",I258=""),"",IF(MIN(D258:G258)&gt;=I258,"Add load (smallest step)",IF(MAX(D258:G258)&lt;H258,"Below range: if again, drop 5–10%","Same load, add reps")))</f>
        <v/>
      </c>
      <c r="L258" s="20"/>
      <c r="M258" s="11" t="str">
        <f aca="false">IF(OR(L258="",C258="",H258="",C258=0),"",MAX(H258,ROUNDUP(30*((L258/C258)*(1+H258/30)-1),0)))</f>
        <v/>
      </c>
    </row>
    <row r="259" customFormat="false" ht="15" hidden="false" customHeight="false" outlineLevel="0" collapsed="false">
      <c r="A259" s="51"/>
      <c r="B259" s="54"/>
      <c r="C259" s="20"/>
      <c r="D259" s="20"/>
      <c r="E259" s="20"/>
      <c r="F259" s="20"/>
      <c r="G259" s="20"/>
      <c r="H259" s="11" t="str">
        <f aca="false">IF(B259="","",IFERROR(INDEX(Program!$H$2:$H$75,MATCH(B259,Program!$D$2:$D$75,0)),""))</f>
        <v/>
      </c>
      <c r="I259" s="11" t="str">
        <f aca="false">IF(B259="","",IFERROR(INDEX(Program!$I$2:$I$75,MATCH(B259,Program!$D$2:$D$75,0)),""))</f>
        <v/>
      </c>
      <c r="J259" s="11" t="str">
        <f aca="false">IF(COUNT(D259:G259)=0,"",COUNT(D259:G259))</f>
        <v/>
      </c>
      <c r="K259" s="12" t="str">
        <f aca="false">IF(OR(J259="",I259=""),"",IF(MIN(D259:G259)&gt;=I259,"Add load (smallest step)",IF(MAX(D259:G259)&lt;H259,"Below range: if again, drop 5–10%","Same load, add reps")))</f>
        <v/>
      </c>
      <c r="L259" s="20"/>
      <c r="M259" s="11" t="str">
        <f aca="false">IF(OR(L259="",C259="",H259="",C259=0),"",MAX(H259,ROUNDUP(30*((L259/C259)*(1+H259/30)-1),0)))</f>
        <v/>
      </c>
    </row>
    <row r="260" customFormat="false" ht="15" hidden="false" customHeight="false" outlineLevel="0" collapsed="false">
      <c r="A260" s="51"/>
      <c r="B260" s="54"/>
      <c r="C260" s="20"/>
      <c r="D260" s="20"/>
      <c r="E260" s="20"/>
      <c r="F260" s="20"/>
      <c r="G260" s="20"/>
      <c r="H260" s="11" t="str">
        <f aca="false">IF(B260="","",IFERROR(INDEX(Program!$H$2:$H$75,MATCH(B260,Program!$D$2:$D$75,0)),""))</f>
        <v/>
      </c>
      <c r="I260" s="11" t="str">
        <f aca="false">IF(B260="","",IFERROR(INDEX(Program!$I$2:$I$75,MATCH(B260,Program!$D$2:$D$75,0)),""))</f>
        <v/>
      </c>
      <c r="J260" s="11" t="str">
        <f aca="false">IF(COUNT(D260:G260)=0,"",COUNT(D260:G260))</f>
        <v/>
      </c>
      <c r="K260" s="12" t="str">
        <f aca="false">IF(OR(J260="",I260=""),"",IF(MIN(D260:G260)&gt;=I260,"Add load (smallest step)",IF(MAX(D260:G260)&lt;H260,"Below range: if again, drop 5–10%","Same load, add reps")))</f>
        <v/>
      </c>
      <c r="L260" s="20"/>
      <c r="M260" s="11" t="str">
        <f aca="false">IF(OR(L260="",C260="",H260="",C260=0),"",MAX(H260,ROUNDUP(30*((L260/C260)*(1+H260/30)-1),0)))</f>
        <v/>
      </c>
    </row>
    <row r="261" customFormat="false" ht="15" hidden="false" customHeight="false" outlineLevel="0" collapsed="false">
      <c r="A261" s="51"/>
      <c r="B261" s="54"/>
      <c r="C261" s="20"/>
      <c r="D261" s="20"/>
      <c r="E261" s="20"/>
      <c r="F261" s="20"/>
      <c r="G261" s="20"/>
      <c r="H261" s="11" t="str">
        <f aca="false">IF(B261="","",IFERROR(INDEX(Program!$H$2:$H$75,MATCH(B261,Program!$D$2:$D$75,0)),""))</f>
        <v/>
      </c>
      <c r="I261" s="11" t="str">
        <f aca="false">IF(B261="","",IFERROR(INDEX(Program!$I$2:$I$75,MATCH(B261,Program!$D$2:$D$75,0)),""))</f>
        <v/>
      </c>
      <c r="J261" s="11" t="str">
        <f aca="false">IF(COUNT(D261:G261)=0,"",COUNT(D261:G261))</f>
        <v/>
      </c>
      <c r="K261" s="12" t="str">
        <f aca="false">IF(OR(J261="",I261=""),"",IF(MIN(D261:G261)&gt;=I261,"Add load (smallest step)",IF(MAX(D261:G261)&lt;H261,"Below range: if again, drop 5–10%","Same load, add reps")))</f>
        <v/>
      </c>
      <c r="L261" s="20"/>
      <c r="M261" s="11" t="str">
        <f aca="false">IF(OR(L261="",C261="",H261="",C261=0),"",MAX(H261,ROUNDUP(30*((L261/C261)*(1+H261/30)-1),0)))</f>
        <v/>
      </c>
    </row>
    <row r="262" customFormat="false" ht="15" hidden="false" customHeight="false" outlineLevel="0" collapsed="false">
      <c r="A262" s="51"/>
      <c r="B262" s="54"/>
      <c r="C262" s="20"/>
      <c r="D262" s="20"/>
      <c r="E262" s="20"/>
      <c r="F262" s="20"/>
      <c r="G262" s="20"/>
      <c r="H262" s="11" t="str">
        <f aca="false">IF(B262="","",IFERROR(INDEX(Program!$H$2:$H$75,MATCH(B262,Program!$D$2:$D$75,0)),""))</f>
        <v/>
      </c>
      <c r="I262" s="11" t="str">
        <f aca="false">IF(B262="","",IFERROR(INDEX(Program!$I$2:$I$75,MATCH(B262,Program!$D$2:$D$75,0)),""))</f>
        <v/>
      </c>
      <c r="J262" s="11" t="str">
        <f aca="false">IF(COUNT(D262:G262)=0,"",COUNT(D262:G262))</f>
        <v/>
      </c>
      <c r="K262" s="12" t="str">
        <f aca="false">IF(OR(J262="",I262=""),"",IF(MIN(D262:G262)&gt;=I262,"Add load (smallest step)",IF(MAX(D262:G262)&lt;H262,"Below range: if again, drop 5–10%","Same load, add reps")))</f>
        <v/>
      </c>
      <c r="L262" s="20"/>
      <c r="M262" s="11" t="str">
        <f aca="false">IF(OR(L262="",C262="",H262="",C262=0),"",MAX(H262,ROUNDUP(30*((L262/C262)*(1+H262/30)-1),0)))</f>
        <v/>
      </c>
    </row>
    <row r="263" customFormat="false" ht="15" hidden="false" customHeight="false" outlineLevel="0" collapsed="false">
      <c r="A263" s="51"/>
      <c r="B263" s="54"/>
      <c r="C263" s="20"/>
      <c r="D263" s="20"/>
      <c r="E263" s="20"/>
      <c r="F263" s="20"/>
      <c r="G263" s="20"/>
      <c r="H263" s="11" t="str">
        <f aca="false">IF(B263="","",IFERROR(INDEX(Program!$H$2:$H$75,MATCH(B263,Program!$D$2:$D$75,0)),""))</f>
        <v/>
      </c>
      <c r="I263" s="11" t="str">
        <f aca="false">IF(B263="","",IFERROR(INDEX(Program!$I$2:$I$75,MATCH(B263,Program!$D$2:$D$75,0)),""))</f>
        <v/>
      </c>
      <c r="J263" s="11" t="str">
        <f aca="false">IF(COUNT(D263:G263)=0,"",COUNT(D263:G263))</f>
        <v/>
      </c>
      <c r="K263" s="12" t="str">
        <f aca="false">IF(OR(J263="",I263=""),"",IF(MIN(D263:G263)&gt;=I263,"Add load (smallest step)",IF(MAX(D263:G263)&lt;H263,"Below range: if again, drop 5–10%","Same load, add reps")))</f>
        <v/>
      </c>
      <c r="L263" s="20"/>
      <c r="M263" s="11" t="str">
        <f aca="false">IF(OR(L263="",C263="",H263="",C263=0),"",MAX(H263,ROUNDUP(30*((L263/C263)*(1+H263/30)-1),0)))</f>
        <v/>
      </c>
    </row>
    <row r="264" customFormat="false" ht="15" hidden="false" customHeight="false" outlineLevel="0" collapsed="false">
      <c r="A264" s="51"/>
      <c r="B264" s="54"/>
      <c r="C264" s="20"/>
      <c r="D264" s="20"/>
      <c r="E264" s="20"/>
      <c r="F264" s="20"/>
      <c r="G264" s="20"/>
      <c r="H264" s="11" t="str">
        <f aca="false">IF(B264="","",IFERROR(INDEX(Program!$H$2:$H$75,MATCH(B264,Program!$D$2:$D$75,0)),""))</f>
        <v/>
      </c>
      <c r="I264" s="11" t="str">
        <f aca="false">IF(B264="","",IFERROR(INDEX(Program!$I$2:$I$75,MATCH(B264,Program!$D$2:$D$75,0)),""))</f>
        <v/>
      </c>
      <c r="J264" s="11" t="str">
        <f aca="false">IF(COUNT(D264:G264)=0,"",COUNT(D264:G264))</f>
        <v/>
      </c>
      <c r="K264" s="12" t="str">
        <f aca="false">IF(OR(J264="",I264=""),"",IF(MIN(D264:G264)&gt;=I264,"Add load (smallest step)",IF(MAX(D264:G264)&lt;H264,"Below range: if again, drop 5–10%","Same load, add reps")))</f>
        <v/>
      </c>
      <c r="L264" s="20"/>
      <c r="M264" s="11" t="str">
        <f aca="false">IF(OR(L264="",C264="",H264="",C264=0),"",MAX(H264,ROUNDUP(30*((L264/C264)*(1+H264/30)-1),0)))</f>
        <v/>
      </c>
    </row>
    <row r="265" customFormat="false" ht="15" hidden="false" customHeight="false" outlineLevel="0" collapsed="false">
      <c r="A265" s="51"/>
      <c r="B265" s="54"/>
      <c r="C265" s="20"/>
      <c r="D265" s="20"/>
      <c r="E265" s="20"/>
      <c r="F265" s="20"/>
      <c r="G265" s="20"/>
      <c r="H265" s="11" t="str">
        <f aca="false">IF(B265="","",IFERROR(INDEX(Program!$H$2:$H$75,MATCH(B265,Program!$D$2:$D$75,0)),""))</f>
        <v/>
      </c>
      <c r="I265" s="11" t="str">
        <f aca="false">IF(B265="","",IFERROR(INDEX(Program!$I$2:$I$75,MATCH(B265,Program!$D$2:$D$75,0)),""))</f>
        <v/>
      </c>
      <c r="J265" s="11" t="str">
        <f aca="false">IF(COUNT(D265:G265)=0,"",COUNT(D265:G265))</f>
        <v/>
      </c>
      <c r="K265" s="12" t="str">
        <f aca="false">IF(OR(J265="",I265=""),"",IF(MIN(D265:G265)&gt;=I265,"Add load (smallest step)",IF(MAX(D265:G265)&lt;H265,"Below range: if again, drop 5–10%","Same load, add reps")))</f>
        <v/>
      </c>
      <c r="L265" s="20"/>
      <c r="M265" s="11" t="str">
        <f aca="false">IF(OR(L265="",C265="",H265="",C265=0),"",MAX(H265,ROUNDUP(30*((L265/C265)*(1+H265/30)-1),0)))</f>
        <v/>
      </c>
    </row>
    <row r="266" customFormat="false" ht="15" hidden="false" customHeight="false" outlineLevel="0" collapsed="false">
      <c r="A266" s="51"/>
      <c r="B266" s="54"/>
      <c r="C266" s="20"/>
      <c r="D266" s="20"/>
      <c r="E266" s="20"/>
      <c r="F266" s="20"/>
      <c r="G266" s="20"/>
      <c r="H266" s="11" t="str">
        <f aca="false">IF(B266="","",IFERROR(INDEX(Program!$H$2:$H$75,MATCH(B266,Program!$D$2:$D$75,0)),""))</f>
        <v/>
      </c>
      <c r="I266" s="11" t="str">
        <f aca="false">IF(B266="","",IFERROR(INDEX(Program!$I$2:$I$75,MATCH(B266,Program!$D$2:$D$75,0)),""))</f>
        <v/>
      </c>
      <c r="J266" s="11" t="str">
        <f aca="false">IF(COUNT(D266:G266)=0,"",COUNT(D266:G266))</f>
        <v/>
      </c>
      <c r="K266" s="12" t="str">
        <f aca="false">IF(OR(J266="",I266=""),"",IF(MIN(D266:G266)&gt;=I266,"Add load (smallest step)",IF(MAX(D266:G266)&lt;H266,"Below range: if again, drop 5–10%","Same load, add reps")))</f>
        <v/>
      </c>
      <c r="L266" s="20"/>
      <c r="M266" s="11" t="str">
        <f aca="false">IF(OR(L266="",C266="",H266="",C266=0),"",MAX(H266,ROUNDUP(30*((L266/C266)*(1+H266/30)-1),0)))</f>
        <v/>
      </c>
    </row>
    <row r="267" customFormat="false" ht="15" hidden="false" customHeight="false" outlineLevel="0" collapsed="false">
      <c r="A267" s="51"/>
      <c r="B267" s="54"/>
      <c r="C267" s="20"/>
      <c r="D267" s="20"/>
      <c r="E267" s="20"/>
      <c r="F267" s="20"/>
      <c r="G267" s="20"/>
      <c r="H267" s="11" t="str">
        <f aca="false">IF(B267="","",IFERROR(INDEX(Program!$H$2:$H$75,MATCH(B267,Program!$D$2:$D$75,0)),""))</f>
        <v/>
      </c>
      <c r="I267" s="11" t="str">
        <f aca="false">IF(B267="","",IFERROR(INDEX(Program!$I$2:$I$75,MATCH(B267,Program!$D$2:$D$75,0)),""))</f>
        <v/>
      </c>
      <c r="J267" s="11" t="str">
        <f aca="false">IF(COUNT(D267:G267)=0,"",COUNT(D267:G267))</f>
        <v/>
      </c>
      <c r="K267" s="12" t="str">
        <f aca="false">IF(OR(J267="",I267=""),"",IF(MIN(D267:G267)&gt;=I267,"Add load (smallest step)",IF(MAX(D267:G267)&lt;H267,"Below range: if again, drop 5–10%","Same load, add reps")))</f>
        <v/>
      </c>
      <c r="L267" s="20"/>
      <c r="M267" s="11" t="str">
        <f aca="false">IF(OR(L267="",C267="",H267="",C267=0),"",MAX(H267,ROUNDUP(30*((L267/C267)*(1+H267/30)-1),0)))</f>
        <v/>
      </c>
    </row>
    <row r="268" customFormat="false" ht="15" hidden="false" customHeight="false" outlineLevel="0" collapsed="false">
      <c r="A268" s="51"/>
      <c r="B268" s="54"/>
      <c r="C268" s="20"/>
      <c r="D268" s="20"/>
      <c r="E268" s="20"/>
      <c r="F268" s="20"/>
      <c r="G268" s="20"/>
      <c r="H268" s="11" t="str">
        <f aca="false">IF(B268="","",IFERROR(INDEX(Program!$H$2:$H$75,MATCH(B268,Program!$D$2:$D$75,0)),""))</f>
        <v/>
      </c>
      <c r="I268" s="11" t="str">
        <f aca="false">IF(B268="","",IFERROR(INDEX(Program!$I$2:$I$75,MATCH(B268,Program!$D$2:$D$75,0)),""))</f>
        <v/>
      </c>
      <c r="J268" s="11" t="str">
        <f aca="false">IF(COUNT(D268:G268)=0,"",COUNT(D268:G268))</f>
        <v/>
      </c>
      <c r="K268" s="12" t="str">
        <f aca="false">IF(OR(J268="",I268=""),"",IF(MIN(D268:G268)&gt;=I268,"Add load (smallest step)",IF(MAX(D268:G268)&lt;H268,"Below range: if again, drop 5–10%","Same load, add reps")))</f>
        <v/>
      </c>
      <c r="L268" s="20"/>
      <c r="M268" s="11" t="str">
        <f aca="false">IF(OR(L268="",C268="",H268="",C268=0),"",MAX(H268,ROUNDUP(30*((L268/C268)*(1+H268/30)-1),0)))</f>
        <v/>
      </c>
    </row>
    <row r="269" customFormat="false" ht="15" hidden="false" customHeight="false" outlineLevel="0" collapsed="false">
      <c r="A269" s="51"/>
      <c r="B269" s="54"/>
      <c r="C269" s="20"/>
      <c r="D269" s="20"/>
      <c r="E269" s="20"/>
      <c r="F269" s="20"/>
      <c r="G269" s="20"/>
      <c r="H269" s="11" t="str">
        <f aca="false">IF(B269="","",IFERROR(INDEX(Program!$H$2:$H$75,MATCH(B269,Program!$D$2:$D$75,0)),""))</f>
        <v/>
      </c>
      <c r="I269" s="11" t="str">
        <f aca="false">IF(B269="","",IFERROR(INDEX(Program!$I$2:$I$75,MATCH(B269,Program!$D$2:$D$75,0)),""))</f>
        <v/>
      </c>
      <c r="J269" s="11" t="str">
        <f aca="false">IF(COUNT(D269:G269)=0,"",COUNT(D269:G269))</f>
        <v/>
      </c>
      <c r="K269" s="12" t="str">
        <f aca="false">IF(OR(J269="",I269=""),"",IF(MIN(D269:G269)&gt;=I269,"Add load (smallest step)",IF(MAX(D269:G269)&lt;H269,"Below range: if again, drop 5–10%","Same load, add reps")))</f>
        <v/>
      </c>
      <c r="L269" s="20"/>
      <c r="M269" s="11" t="str">
        <f aca="false">IF(OR(L269="",C269="",H269="",C269=0),"",MAX(H269,ROUNDUP(30*((L269/C269)*(1+H269/30)-1),0)))</f>
        <v/>
      </c>
    </row>
    <row r="270" customFormat="false" ht="15" hidden="false" customHeight="false" outlineLevel="0" collapsed="false">
      <c r="A270" s="51"/>
      <c r="B270" s="54"/>
      <c r="C270" s="20"/>
      <c r="D270" s="20"/>
      <c r="E270" s="20"/>
      <c r="F270" s="20"/>
      <c r="G270" s="20"/>
      <c r="H270" s="11" t="str">
        <f aca="false">IF(B270="","",IFERROR(INDEX(Program!$H$2:$H$75,MATCH(B270,Program!$D$2:$D$75,0)),""))</f>
        <v/>
      </c>
      <c r="I270" s="11" t="str">
        <f aca="false">IF(B270="","",IFERROR(INDEX(Program!$I$2:$I$75,MATCH(B270,Program!$D$2:$D$75,0)),""))</f>
        <v/>
      </c>
      <c r="J270" s="11" t="str">
        <f aca="false">IF(COUNT(D270:G270)=0,"",COUNT(D270:G270))</f>
        <v/>
      </c>
      <c r="K270" s="12" t="str">
        <f aca="false">IF(OR(J270="",I270=""),"",IF(MIN(D270:G270)&gt;=I270,"Add load (smallest step)",IF(MAX(D270:G270)&lt;H270,"Below range: if again, drop 5–10%","Same load, add reps")))</f>
        <v/>
      </c>
      <c r="L270" s="20"/>
      <c r="M270" s="11" t="str">
        <f aca="false">IF(OR(L270="",C270="",H270="",C270=0),"",MAX(H270,ROUNDUP(30*((L270/C270)*(1+H270/30)-1),0)))</f>
        <v/>
      </c>
    </row>
    <row r="271" customFormat="false" ht="15" hidden="false" customHeight="false" outlineLevel="0" collapsed="false">
      <c r="A271" s="51"/>
      <c r="B271" s="54"/>
      <c r="C271" s="20"/>
      <c r="D271" s="20"/>
      <c r="E271" s="20"/>
      <c r="F271" s="20"/>
      <c r="G271" s="20"/>
      <c r="H271" s="11" t="str">
        <f aca="false">IF(B271="","",IFERROR(INDEX(Program!$H$2:$H$75,MATCH(B271,Program!$D$2:$D$75,0)),""))</f>
        <v/>
      </c>
      <c r="I271" s="11" t="str">
        <f aca="false">IF(B271="","",IFERROR(INDEX(Program!$I$2:$I$75,MATCH(B271,Program!$D$2:$D$75,0)),""))</f>
        <v/>
      </c>
      <c r="J271" s="11" t="str">
        <f aca="false">IF(COUNT(D271:G271)=0,"",COUNT(D271:G271))</f>
        <v/>
      </c>
      <c r="K271" s="12" t="str">
        <f aca="false">IF(OR(J271="",I271=""),"",IF(MIN(D271:G271)&gt;=I271,"Add load (smallest step)",IF(MAX(D271:G271)&lt;H271,"Below range: if again, drop 5–10%","Same load, add reps")))</f>
        <v/>
      </c>
      <c r="L271" s="20"/>
      <c r="M271" s="11" t="str">
        <f aca="false">IF(OR(L271="",C271="",H271="",C271=0),"",MAX(H271,ROUNDUP(30*((L271/C271)*(1+H271/30)-1),0)))</f>
        <v/>
      </c>
    </row>
    <row r="272" customFormat="false" ht="15" hidden="false" customHeight="false" outlineLevel="0" collapsed="false">
      <c r="A272" s="51"/>
      <c r="B272" s="54"/>
      <c r="C272" s="20"/>
      <c r="D272" s="20"/>
      <c r="E272" s="20"/>
      <c r="F272" s="20"/>
      <c r="G272" s="20"/>
      <c r="H272" s="11" t="str">
        <f aca="false">IF(B272="","",IFERROR(INDEX(Program!$H$2:$H$75,MATCH(B272,Program!$D$2:$D$75,0)),""))</f>
        <v/>
      </c>
      <c r="I272" s="11" t="str">
        <f aca="false">IF(B272="","",IFERROR(INDEX(Program!$I$2:$I$75,MATCH(B272,Program!$D$2:$D$75,0)),""))</f>
        <v/>
      </c>
      <c r="J272" s="11" t="str">
        <f aca="false">IF(COUNT(D272:G272)=0,"",COUNT(D272:G272))</f>
        <v/>
      </c>
      <c r="K272" s="12" t="str">
        <f aca="false">IF(OR(J272="",I272=""),"",IF(MIN(D272:G272)&gt;=I272,"Add load (smallest step)",IF(MAX(D272:G272)&lt;H272,"Below range: if again, drop 5–10%","Same load, add reps")))</f>
        <v/>
      </c>
      <c r="L272" s="20"/>
      <c r="M272" s="11" t="str">
        <f aca="false">IF(OR(L272="",C272="",H272="",C272=0),"",MAX(H272,ROUNDUP(30*((L272/C272)*(1+H272/30)-1),0)))</f>
        <v/>
      </c>
    </row>
    <row r="273" customFormat="false" ht="15" hidden="false" customHeight="false" outlineLevel="0" collapsed="false">
      <c r="A273" s="51"/>
      <c r="B273" s="54"/>
      <c r="C273" s="20"/>
      <c r="D273" s="20"/>
      <c r="E273" s="20"/>
      <c r="F273" s="20"/>
      <c r="G273" s="20"/>
      <c r="H273" s="11" t="str">
        <f aca="false">IF(B273="","",IFERROR(INDEX(Program!$H$2:$H$75,MATCH(B273,Program!$D$2:$D$75,0)),""))</f>
        <v/>
      </c>
      <c r="I273" s="11" t="str">
        <f aca="false">IF(B273="","",IFERROR(INDEX(Program!$I$2:$I$75,MATCH(B273,Program!$D$2:$D$75,0)),""))</f>
        <v/>
      </c>
      <c r="J273" s="11" t="str">
        <f aca="false">IF(COUNT(D273:G273)=0,"",COUNT(D273:G273))</f>
        <v/>
      </c>
      <c r="K273" s="12" t="str">
        <f aca="false">IF(OR(J273="",I273=""),"",IF(MIN(D273:G273)&gt;=I273,"Add load (smallest step)",IF(MAX(D273:G273)&lt;H273,"Below range: if again, drop 5–10%","Same load, add reps")))</f>
        <v/>
      </c>
      <c r="L273" s="20"/>
      <c r="M273" s="11" t="str">
        <f aca="false">IF(OR(L273="",C273="",H273="",C273=0),"",MAX(H273,ROUNDUP(30*((L273/C273)*(1+H273/30)-1),0)))</f>
        <v/>
      </c>
    </row>
    <row r="274" customFormat="false" ht="15" hidden="false" customHeight="false" outlineLevel="0" collapsed="false">
      <c r="A274" s="51"/>
      <c r="B274" s="54"/>
      <c r="C274" s="20"/>
      <c r="D274" s="20"/>
      <c r="E274" s="20"/>
      <c r="F274" s="20"/>
      <c r="G274" s="20"/>
      <c r="H274" s="11" t="str">
        <f aca="false">IF(B274="","",IFERROR(INDEX(Program!$H$2:$H$75,MATCH(B274,Program!$D$2:$D$75,0)),""))</f>
        <v/>
      </c>
      <c r="I274" s="11" t="str">
        <f aca="false">IF(B274="","",IFERROR(INDEX(Program!$I$2:$I$75,MATCH(B274,Program!$D$2:$D$75,0)),""))</f>
        <v/>
      </c>
      <c r="J274" s="11" t="str">
        <f aca="false">IF(COUNT(D274:G274)=0,"",COUNT(D274:G274))</f>
        <v/>
      </c>
      <c r="K274" s="12" t="str">
        <f aca="false">IF(OR(J274="",I274=""),"",IF(MIN(D274:G274)&gt;=I274,"Add load (smallest step)",IF(MAX(D274:G274)&lt;H274,"Below range: if again, drop 5–10%","Same load, add reps")))</f>
        <v/>
      </c>
      <c r="L274" s="20"/>
      <c r="M274" s="11" t="str">
        <f aca="false">IF(OR(L274="",C274="",H274="",C274=0),"",MAX(H274,ROUNDUP(30*((L274/C274)*(1+H274/30)-1),0)))</f>
        <v/>
      </c>
    </row>
    <row r="275" customFormat="false" ht="15" hidden="false" customHeight="false" outlineLevel="0" collapsed="false">
      <c r="A275" s="51"/>
      <c r="B275" s="54"/>
      <c r="C275" s="20"/>
      <c r="D275" s="20"/>
      <c r="E275" s="20"/>
      <c r="F275" s="20"/>
      <c r="G275" s="20"/>
      <c r="H275" s="11" t="str">
        <f aca="false">IF(B275="","",IFERROR(INDEX(Program!$H$2:$H$75,MATCH(B275,Program!$D$2:$D$75,0)),""))</f>
        <v/>
      </c>
      <c r="I275" s="11" t="str">
        <f aca="false">IF(B275="","",IFERROR(INDEX(Program!$I$2:$I$75,MATCH(B275,Program!$D$2:$D$75,0)),""))</f>
        <v/>
      </c>
      <c r="J275" s="11" t="str">
        <f aca="false">IF(COUNT(D275:G275)=0,"",COUNT(D275:G275))</f>
        <v/>
      </c>
      <c r="K275" s="12" t="str">
        <f aca="false">IF(OR(J275="",I275=""),"",IF(MIN(D275:G275)&gt;=I275,"Add load (smallest step)",IF(MAX(D275:G275)&lt;H275,"Below range: if again, drop 5–10%","Same load, add reps")))</f>
        <v/>
      </c>
      <c r="L275" s="20"/>
      <c r="M275" s="11" t="str">
        <f aca="false">IF(OR(L275="",C275="",H275="",C275=0),"",MAX(H275,ROUNDUP(30*((L275/C275)*(1+H275/30)-1),0)))</f>
        <v/>
      </c>
    </row>
    <row r="276" customFormat="false" ht="15" hidden="false" customHeight="false" outlineLevel="0" collapsed="false">
      <c r="A276" s="51"/>
      <c r="B276" s="54"/>
      <c r="C276" s="20"/>
      <c r="D276" s="20"/>
      <c r="E276" s="20"/>
      <c r="F276" s="20"/>
      <c r="G276" s="20"/>
      <c r="H276" s="11" t="str">
        <f aca="false">IF(B276="","",IFERROR(INDEX(Program!$H$2:$H$75,MATCH(B276,Program!$D$2:$D$75,0)),""))</f>
        <v/>
      </c>
      <c r="I276" s="11" t="str">
        <f aca="false">IF(B276="","",IFERROR(INDEX(Program!$I$2:$I$75,MATCH(B276,Program!$D$2:$D$75,0)),""))</f>
        <v/>
      </c>
      <c r="J276" s="11" t="str">
        <f aca="false">IF(COUNT(D276:G276)=0,"",COUNT(D276:G276))</f>
        <v/>
      </c>
      <c r="K276" s="12" t="str">
        <f aca="false">IF(OR(J276="",I276=""),"",IF(MIN(D276:G276)&gt;=I276,"Add load (smallest step)",IF(MAX(D276:G276)&lt;H276,"Below range: if again, drop 5–10%","Same load, add reps")))</f>
        <v/>
      </c>
      <c r="L276" s="20"/>
      <c r="M276" s="11" t="str">
        <f aca="false">IF(OR(L276="",C276="",H276="",C276=0),"",MAX(H276,ROUNDUP(30*((L276/C276)*(1+H276/30)-1),0)))</f>
        <v/>
      </c>
    </row>
    <row r="277" customFormat="false" ht="15" hidden="false" customHeight="false" outlineLevel="0" collapsed="false">
      <c r="A277" s="51"/>
      <c r="B277" s="54"/>
      <c r="C277" s="20"/>
      <c r="D277" s="20"/>
      <c r="E277" s="20"/>
      <c r="F277" s="20"/>
      <c r="G277" s="20"/>
      <c r="H277" s="11" t="str">
        <f aca="false">IF(B277="","",IFERROR(INDEX(Program!$H$2:$H$75,MATCH(B277,Program!$D$2:$D$75,0)),""))</f>
        <v/>
      </c>
      <c r="I277" s="11" t="str">
        <f aca="false">IF(B277="","",IFERROR(INDEX(Program!$I$2:$I$75,MATCH(B277,Program!$D$2:$D$75,0)),""))</f>
        <v/>
      </c>
      <c r="J277" s="11" t="str">
        <f aca="false">IF(COUNT(D277:G277)=0,"",COUNT(D277:G277))</f>
        <v/>
      </c>
      <c r="K277" s="12" t="str">
        <f aca="false">IF(OR(J277="",I277=""),"",IF(MIN(D277:G277)&gt;=I277,"Add load (smallest step)",IF(MAX(D277:G277)&lt;H277,"Below range: if again, drop 5–10%","Same load, add reps")))</f>
        <v/>
      </c>
      <c r="L277" s="20"/>
      <c r="M277" s="11" t="str">
        <f aca="false">IF(OR(L277="",C277="",H277="",C277=0),"",MAX(H277,ROUNDUP(30*((L277/C277)*(1+H277/30)-1),0)))</f>
        <v/>
      </c>
    </row>
    <row r="278" customFormat="false" ht="15" hidden="false" customHeight="false" outlineLevel="0" collapsed="false">
      <c r="A278" s="51"/>
      <c r="B278" s="54"/>
      <c r="C278" s="20"/>
      <c r="D278" s="20"/>
      <c r="E278" s="20"/>
      <c r="F278" s="20"/>
      <c r="G278" s="20"/>
      <c r="H278" s="11" t="str">
        <f aca="false">IF(B278="","",IFERROR(INDEX(Program!$H$2:$H$75,MATCH(B278,Program!$D$2:$D$75,0)),""))</f>
        <v/>
      </c>
      <c r="I278" s="11" t="str">
        <f aca="false">IF(B278="","",IFERROR(INDEX(Program!$I$2:$I$75,MATCH(B278,Program!$D$2:$D$75,0)),""))</f>
        <v/>
      </c>
      <c r="J278" s="11" t="str">
        <f aca="false">IF(COUNT(D278:G278)=0,"",COUNT(D278:G278))</f>
        <v/>
      </c>
      <c r="K278" s="12" t="str">
        <f aca="false">IF(OR(J278="",I278=""),"",IF(MIN(D278:G278)&gt;=I278,"Add load (smallest step)",IF(MAX(D278:G278)&lt;H278,"Below range: if again, drop 5–10%","Same load, add reps")))</f>
        <v/>
      </c>
      <c r="L278" s="20"/>
      <c r="M278" s="11" t="str">
        <f aca="false">IF(OR(L278="",C278="",H278="",C278=0),"",MAX(H278,ROUNDUP(30*((L278/C278)*(1+H278/30)-1),0)))</f>
        <v/>
      </c>
    </row>
    <row r="279" customFormat="false" ht="15" hidden="false" customHeight="false" outlineLevel="0" collapsed="false">
      <c r="A279" s="51"/>
      <c r="B279" s="54"/>
      <c r="C279" s="20"/>
      <c r="D279" s="20"/>
      <c r="E279" s="20"/>
      <c r="F279" s="20"/>
      <c r="G279" s="20"/>
      <c r="H279" s="11" t="str">
        <f aca="false">IF(B279="","",IFERROR(INDEX(Program!$H$2:$H$75,MATCH(B279,Program!$D$2:$D$75,0)),""))</f>
        <v/>
      </c>
      <c r="I279" s="11" t="str">
        <f aca="false">IF(B279="","",IFERROR(INDEX(Program!$I$2:$I$75,MATCH(B279,Program!$D$2:$D$75,0)),""))</f>
        <v/>
      </c>
      <c r="J279" s="11" t="str">
        <f aca="false">IF(COUNT(D279:G279)=0,"",COUNT(D279:G279))</f>
        <v/>
      </c>
      <c r="K279" s="12" t="str">
        <f aca="false">IF(OR(J279="",I279=""),"",IF(MIN(D279:G279)&gt;=I279,"Add load (smallest step)",IF(MAX(D279:G279)&lt;H279,"Below range: if again, drop 5–10%","Same load, add reps")))</f>
        <v/>
      </c>
      <c r="L279" s="20"/>
      <c r="M279" s="11" t="str">
        <f aca="false">IF(OR(L279="",C279="",H279="",C279=0),"",MAX(H279,ROUNDUP(30*((L279/C279)*(1+H279/30)-1),0)))</f>
        <v/>
      </c>
    </row>
    <row r="280" customFormat="false" ht="15" hidden="false" customHeight="false" outlineLevel="0" collapsed="false">
      <c r="A280" s="51"/>
      <c r="B280" s="54"/>
      <c r="C280" s="20"/>
      <c r="D280" s="20"/>
      <c r="E280" s="20"/>
      <c r="F280" s="20"/>
      <c r="G280" s="20"/>
      <c r="H280" s="11" t="str">
        <f aca="false">IF(B280="","",IFERROR(INDEX(Program!$H$2:$H$75,MATCH(B280,Program!$D$2:$D$75,0)),""))</f>
        <v/>
      </c>
      <c r="I280" s="11" t="str">
        <f aca="false">IF(B280="","",IFERROR(INDEX(Program!$I$2:$I$75,MATCH(B280,Program!$D$2:$D$75,0)),""))</f>
        <v/>
      </c>
      <c r="J280" s="11" t="str">
        <f aca="false">IF(COUNT(D280:G280)=0,"",COUNT(D280:G280))</f>
        <v/>
      </c>
      <c r="K280" s="12" t="str">
        <f aca="false">IF(OR(J280="",I280=""),"",IF(MIN(D280:G280)&gt;=I280,"Add load (smallest step)",IF(MAX(D280:G280)&lt;H280,"Below range: if again, drop 5–10%","Same load, add reps")))</f>
        <v/>
      </c>
      <c r="L280" s="20"/>
      <c r="M280" s="11" t="str">
        <f aca="false">IF(OR(L280="",C280="",H280="",C280=0),"",MAX(H280,ROUNDUP(30*((L280/C280)*(1+H280/30)-1),0)))</f>
        <v/>
      </c>
    </row>
    <row r="281" customFormat="false" ht="15" hidden="false" customHeight="false" outlineLevel="0" collapsed="false">
      <c r="A281" s="51"/>
      <c r="B281" s="54"/>
      <c r="C281" s="20"/>
      <c r="D281" s="20"/>
      <c r="E281" s="20"/>
      <c r="F281" s="20"/>
      <c r="G281" s="20"/>
      <c r="H281" s="11" t="str">
        <f aca="false">IF(B281="","",IFERROR(INDEX(Program!$H$2:$H$75,MATCH(B281,Program!$D$2:$D$75,0)),""))</f>
        <v/>
      </c>
      <c r="I281" s="11" t="str">
        <f aca="false">IF(B281="","",IFERROR(INDEX(Program!$I$2:$I$75,MATCH(B281,Program!$D$2:$D$75,0)),""))</f>
        <v/>
      </c>
      <c r="J281" s="11" t="str">
        <f aca="false">IF(COUNT(D281:G281)=0,"",COUNT(D281:G281))</f>
        <v/>
      </c>
      <c r="K281" s="12" t="str">
        <f aca="false">IF(OR(J281="",I281=""),"",IF(MIN(D281:G281)&gt;=I281,"Add load (smallest step)",IF(MAX(D281:G281)&lt;H281,"Below range: if again, drop 5–10%","Same load, add reps")))</f>
        <v/>
      </c>
      <c r="L281" s="20"/>
      <c r="M281" s="11" t="str">
        <f aca="false">IF(OR(L281="",C281="",H281="",C281=0),"",MAX(H281,ROUNDUP(30*((L281/C281)*(1+H281/30)-1),0)))</f>
        <v/>
      </c>
    </row>
    <row r="282" customFormat="false" ht="15" hidden="false" customHeight="false" outlineLevel="0" collapsed="false">
      <c r="A282" s="51"/>
      <c r="B282" s="54"/>
      <c r="C282" s="20"/>
      <c r="D282" s="20"/>
      <c r="E282" s="20"/>
      <c r="F282" s="20"/>
      <c r="G282" s="20"/>
      <c r="H282" s="11" t="str">
        <f aca="false">IF(B282="","",IFERROR(INDEX(Program!$H$2:$H$75,MATCH(B282,Program!$D$2:$D$75,0)),""))</f>
        <v/>
      </c>
      <c r="I282" s="11" t="str">
        <f aca="false">IF(B282="","",IFERROR(INDEX(Program!$I$2:$I$75,MATCH(B282,Program!$D$2:$D$75,0)),""))</f>
        <v/>
      </c>
      <c r="J282" s="11" t="str">
        <f aca="false">IF(COUNT(D282:G282)=0,"",COUNT(D282:G282))</f>
        <v/>
      </c>
      <c r="K282" s="12" t="str">
        <f aca="false">IF(OR(J282="",I282=""),"",IF(MIN(D282:G282)&gt;=I282,"Add load (smallest step)",IF(MAX(D282:G282)&lt;H282,"Below range: if again, drop 5–10%","Same load, add reps")))</f>
        <v/>
      </c>
      <c r="L282" s="20"/>
      <c r="M282" s="11" t="str">
        <f aca="false">IF(OR(L282="",C282="",H282="",C282=0),"",MAX(H282,ROUNDUP(30*((L282/C282)*(1+H282/30)-1),0)))</f>
        <v/>
      </c>
    </row>
    <row r="283" customFormat="false" ht="15" hidden="false" customHeight="false" outlineLevel="0" collapsed="false">
      <c r="A283" s="51"/>
      <c r="B283" s="54"/>
      <c r="C283" s="20"/>
      <c r="D283" s="20"/>
      <c r="E283" s="20"/>
      <c r="F283" s="20"/>
      <c r="G283" s="20"/>
      <c r="H283" s="11" t="str">
        <f aca="false">IF(B283="","",IFERROR(INDEX(Program!$H$2:$H$75,MATCH(B283,Program!$D$2:$D$75,0)),""))</f>
        <v/>
      </c>
      <c r="I283" s="11" t="str">
        <f aca="false">IF(B283="","",IFERROR(INDEX(Program!$I$2:$I$75,MATCH(B283,Program!$D$2:$D$75,0)),""))</f>
        <v/>
      </c>
      <c r="J283" s="11" t="str">
        <f aca="false">IF(COUNT(D283:G283)=0,"",COUNT(D283:G283))</f>
        <v/>
      </c>
      <c r="K283" s="12" t="str">
        <f aca="false">IF(OR(J283="",I283=""),"",IF(MIN(D283:G283)&gt;=I283,"Add load (smallest step)",IF(MAX(D283:G283)&lt;H283,"Below range: if again, drop 5–10%","Same load, add reps")))</f>
        <v/>
      </c>
      <c r="L283" s="20"/>
      <c r="M283" s="11" t="str">
        <f aca="false">IF(OR(L283="",C283="",H283="",C283=0),"",MAX(H283,ROUNDUP(30*((L283/C283)*(1+H283/30)-1),0)))</f>
        <v/>
      </c>
    </row>
    <row r="284" customFormat="false" ht="15" hidden="false" customHeight="false" outlineLevel="0" collapsed="false">
      <c r="A284" s="51"/>
      <c r="B284" s="54"/>
      <c r="C284" s="20"/>
      <c r="D284" s="20"/>
      <c r="E284" s="20"/>
      <c r="F284" s="20"/>
      <c r="G284" s="20"/>
      <c r="H284" s="11" t="str">
        <f aca="false">IF(B284="","",IFERROR(INDEX(Program!$H$2:$H$75,MATCH(B284,Program!$D$2:$D$75,0)),""))</f>
        <v/>
      </c>
      <c r="I284" s="11" t="str">
        <f aca="false">IF(B284="","",IFERROR(INDEX(Program!$I$2:$I$75,MATCH(B284,Program!$D$2:$D$75,0)),""))</f>
        <v/>
      </c>
      <c r="J284" s="11" t="str">
        <f aca="false">IF(COUNT(D284:G284)=0,"",COUNT(D284:G284))</f>
        <v/>
      </c>
      <c r="K284" s="12" t="str">
        <f aca="false">IF(OR(J284="",I284=""),"",IF(MIN(D284:G284)&gt;=I284,"Add load (smallest step)",IF(MAX(D284:G284)&lt;H284,"Below range: if again, drop 5–10%","Same load, add reps")))</f>
        <v/>
      </c>
      <c r="L284" s="20"/>
      <c r="M284" s="11" t="str">
        <f aca="false">IF(OR(L284="",C284="",H284="",C284=0),"",MAX(H284,ROUNDUP(30*((L284/C284)*(1+H284/30)-1),0)))</f>
        <v/>
      </c>
    </row>
    <row r="285" customFormat="false" ht="15" hidden="false" customHeight="false" outlineLevel="0" collapsed="false">
      <c r="A285" s="51"/>
      <c r="B285" s="54"/>
      <c r="C285" s="20"/>
      <c r="D285" s="20"/>
      <c r="E285" s="20"/>
      <c r="F285" s="20"/>
      <c r="G285" s="20"/>
      <c r="H285" s="11" t="str">
        <f aca="false">IF(B285="","",IFERROR(INDEX(Program!$H$2:$H$75,MATCH(B285,Program!$D$2:$D$75,0)),""))</f>
        <v/>
      </c>
      <c r="I285" s="11" t="str">
        <f aca="false">IF(B285="","",IFERROR(INDEX(Program!$I$2:$I$75,MATCH(B285,Program!$D$2:$D$75,0)),""))</f>
        <v/>
      </c>
      <c r="J285" s="11" t="str">
        <f aca="false">IF(COUNT(D285:G285)=0,"",COUNT(D285:G285))</f>
        <v/>
      </c>
      <c r="K285" s="12" t="str">
        <f aca="false">IF(OR(J285="",I285=""),"",IF(MIN(D285:G285)&gt;=I285,"Add load (smallest step)",IF(MAX(D285:G285)&lt;H285,"Below range: if again, drop 5–10%","Same load, add reps")))</f>
        <v/>
      </c>
      <c r="L285" s="20"/>
      <c r="M285" s="11" t="str">
        <f aca="false">IF(OR(L285="",C285="",H285="",C285=0),"",MAX(H285,ROUNDUP(30*((L285/C285)*(1+H285/30)-1),0)))</f>
        <v/>
      </c>
    </row>
    <row r="286" customFormat="false" ht="15" hidden="false" customHeight="false" outlineLevel="0" collapsed="false">
      <c r="A286" s="51"/>
      <c r="B286" s="54"/>
      <c r="C286" s="20"/>
      <c r="D286" s="20"/>
      <c r="E286" s="20"/>
      <c r="F286" s="20"/>
      <c r="G286" s="20"/>
      <c r="H286" s="11" t="str">
        <f aca="false">IF(B286="","",IFERROR(INDEX(Program!$H$2:$H$75,MATCH(B286,Program!$D$2:$D$75,0)),""))</f>
        <v/>
      </c>
      <c r="I286" s="11" t="str">
        <f aca="false">IF(B286="","",IFERROR(INDEX(Program!$I$2:$I$75,MATCH(B286,Program!$D$2:$D$75,0)),""))</f>
        <v/>
      </c>
      <c r="J286" s="11" t="str">
        <f aca="false">IF(COUNT(D286:G286)=0,"",COUNT(D286:G286))</f>
        <v/>
      </c>
      <c r="K286" s="12" t="str">
        <f aca="false">IF(OR(J286="",I286=""),"",IF(MIN(D286:G286)&gt;=I286,"Add load (smallest step)",IF(MAX(D286:G286)&lt;H286,"Below range: if again, drop 5–10%","Same load, add reps")))</f>
        <v/>
      </c>
      <c r="L286" s="20"/>
      <c r="M286" s="11" t="str">
        <f aca="false">IF(OR(L286="",C286="",H286="",C286=0),"",MAX(H286,ROUNDUP(30*((L286/C286)*(1+H286/30)-1),0)))</f>
        <v/>
      </c>
    </row>
    <row r="287" customFormat="false" ht="15" hidden="false" customHeight="false" outlineLevel="0" collapsed="false">
      <c r="A287" s="51"/>
      <c r="B287" s="54"/>
      <c r="C287" s="20"/>
      <c r="D287" s="20"/>
      <c r="E287" s="20"/>
      <c r="F287" s="20"/>
      <c r="G287" s="20"/>
      <c r="H287" s="11" t="str">
        <f aca="false">IF(B287="","",IFERROR(INDEX(Program!$H$2:$H$75,MATCH(B287,Program!$D$2:$D$75,0)),""))</f>
        <v/>
      </c>
      <c r="I287" s="11" t="str">
        <f aca="false">IF(B287="","",IFERROR(INDEX(Program!$I$2:$I$75,MATCH(B287,Program!$D$2:$D$75,0)),""))</f>
        <v/>
      </c>
      <c r="J287" s="11" t="str">
        <f aca="false">IF(COUNT(D287:G287)=0,"",COUNT(D287:G287))</f>
        <v/>
      </c>
      <c r="K287" s="12" t="str">
        <f aca="false">IF(OR(J287="",I287=""),"",IF(MIN(D287:G287)&gt;=I287,"Add load (smallest step)",IF(MAX(D287:G287)&lt;H287,"Below range: if again, drop 5–10%","Same load, add reps")))</f>
        <v/>
      </c>
      <c r="L287" s="20"/>
      <c r="M287" s="11" t="str">
        <f aca="false">IF(OR(L287="",C287="",H287="",C287=0),"",MAX(H287,ROUNDUP(30*((L287/C287)*(1+H287/30)-1),0)))</f>
        <v/>
      </c>
    </row>
    <row r="288" customFormat="false" ht="15" hidden="false" customHeight="false" outlineLevel="0" collapsed="false">
      <c r="A288" s="51"/>
      <c r="B288" s="54"/>
      <c r="C288" s="20"/>
      <c r="D288" s="20"/>
      <c r="E288" s="20"/>
      <c r="F288" s="20"/>
      <c r="G288" s="20"/>
      <c r="H288" s="11" t="str">
        <f aca="false">IF(B288="","",IFERROR(INDEX(Program!$H$2:$H$75,MATCH(B288,Program!$D$2:$D$75,0)),""))</f>
        <v/>
      </c>
      <c r="I288" s="11" t="str">
        <f aca="false">IF(B288="","",IFERROR(INDEX(Program!$I$2:$I$75,MATCH(B288,Program!$D$2:$D$75,0)),""))</f>
        <v/>
      </c>
      <c r="J288" s="11" t="str">
        <f aca="false">IF(COUNT(D288:G288)=0,"",COUNT(D288:G288))</f>
        <v/>
      </c>
      <c r="K288" s="12" t="str">
        <f aca="false">IF(OR(J288="",I288=""),"",IF(MIN(D288:G288)&gt;=I288,"Add load (smallest step)",IF(MAX(D288:G288)&lt;H288,"Below range: if again, drop 5–10%","Same load, add reps")))</f>
        <v/>
      </c>
      <c r="L288" s="20"/>
      <c r="M288" s="11" t="str">
        <f aca="false">IF(OR(L288="",C288="",H288="",C288=0),"",MAX(H288,ROUNDUP(30*((L288/C288)*(1+H288/30)-1),0)))</f>
        <v/>
      </c>
    </row>
    <row r="289" customFormat="false" ht="15" hidden="false" customHeight="false" outlineLevel="0" collapsed="false">
      <c r="A289" s="51"/>
      <c r="B289" s="54"/>
      <c r="C289" s="20"/>
      <c r="D289" s="20"/>
      <c r="E289" s="20"/>
      <c r="F289" s="20"/>
      <c r="G289" s="20"/>
      <c r="H289" s="11" t="str">
        <f aca="false">IF(B289="","",IFERROR(INDEX(Program!$H$2:$H$75,MATCH(B289,Program!$D$2:$D$75,0)),""))</f>
        <v/>
      </c>
      <c r="I289" s="11" t="str">
        <f aca="false">IF(B289="","",IFERROR(INDEX(Program!$I$2:$I$75,MATCH(B289,Program!$D$2:$D$75,0)),""))</f>
        <v/>
      </c>
      <c r="J289" s="11" t="str">
        <f aca="false">IF(COUNT(D289:G289)=0,"",COUNT(D289:G289))</f>
        <v/>
      </c>
      <c r="K289" s="12" t="str">
        <f aca="false">IF(OR(J289="",I289=""),"",IF(MIN(D289:G289)&gt;=I289,"Add load (smallest step)",IF(MAX(D289:G289)&lt;H289,"Below range: if again, drop 5–10%","Same load, add reps")))</f>
        <v/>
      </c>
      <c r="L289" s="20"/>
      <c r="M289" s="11" t="str">
        <f aca="false">IF(OR(L289="",C289="",H289="",C289=0),"",MAX(H289,ROUNDUP(30*((L289/C289)*(1+H289/30)-1),0)))</f>
        <v/>
      </c>
    </row>
    <row r="290" customFormat="false" ht="15" hidden="false" customHeight="false" outlineLevel="0" collapsed="false">
      <c r="A290" s="51"/>
      <c r="B290" s="54"/>
      <c r="C290" s="20"/>
      <c r="D290" s="20"/>
      <c r="E290" s="20"/>
      <c r="F290" s="20"/>
      <c r="G290" s="20"/>
      <c r="H290" s="11" t="str">
        <f aca="false">IF(B290="","",IFERROR(INDEX(Program!$H$2:$H$75,MATCH(B290,Program!$D$2:$D$75,0)),""))</f>
        <v/>
      </c>
      <c r="I290" s="11" t="str">
        <f aca="false">IF(B290="","",IFERROR(INDEX(Program!$I$2:$I$75,MATCH(B290,Program!$D$2:$D$75,0)),""))</f>
        <v/>
      </c>
      <c r="J290" s="11" t="str">
        <f aca="false">IF(COUNT(D290:G290)=0,"",COUNT(D290:G290))</f>
        <v/>
      </c>
      <c r="K290" s="12" t="str">
        <f aca="false">IF(OR(J290="",I290=""),"",IF(MIN(D290:G290)&gt;=I290,"Add load (smallest step)",IF(MAX(D290:G290)&lt;H290,"Below range: if again, drop 5–10%","Same load, add reps")))</f>
        <v/>
      </c>
      <c r="L290" s="20"/>
      <c r="M290" s="11" t="str">
        <f aca="false">IF(OR(L290="",C290="",H290="",C290=0),"",MAX(H290,ROUNDUP(30*((L290/C290)*(1+H290/30)-1),0)))</f>
        <v/>
      </c>
    </row>
    <row r="291" customFormat="false" ht="15" hidden="false" customHeight="false" outlineLevel="0" collapsed="false">
      <c r="A291" s="51"/>
      <c r="B291" s="54"/>
      <c r="C291" s="20"/>
      <c r="D291" s="20"/>
      <c r="E291" s="20"/>
      <c r="F291" s="20"/>
      <c r="G291" s="20"/>
      <c r="H291" s="11" t="str">
        <f aca="false">IF(B291="","",IFERROR(INDEX(Program!$H$2:$H$75,MATCH(B291,Program!$D$2:$D$75,0)),""))</f>
        <v/>
      </c>
      <c r="I291" s="11" t="str">
        <f aca="false">IF(B291="","",IFERROR(INDEX(Program!$I$2:$I$75,MATCH(B291,Program!$D$2:$D$75,0)),""))</f>
        <v/>
      </c>
      <c r="J291" s="11" t="str">
        <f aca="false">IF(COUNT(D291:G291)=0,"",COUNT(D291:G291))</f>
        <v/>
      </c>
      <c r="K291" s="12" t="str">
        <f aca="false">IF(OR(J291="",I291=""),"",IF(MIN(D291:G291)&gt;=I291,"Add load (smallest step)",IF(MAX(D291:G291)&lt;H291,"Below range: if again, drop 5–10%","Same load, add reps")))</f>
        <v/>
      </c>
      <c r="L291" s="20"/>
      <c r="M291" s="11" t="str">
        <f aca="false">IF(OR(L291="",C291="",H291="",C291=0),"",MAX(H291,ROUNDUP(30*((L291/C291)*(1+H291/30)-1),0)))</f>
        <v/>
      </c>
    </row>
    <row r="292" customFormat="false" ht="15" hidden="false" customHeight="false" outlineLevel="0" collapsed="false">
      <c r="A292" s="51"/>
      <c r="B292" s="54"/>
      <c r="C292" s="20"/>
      <c r="D292" s="20"/>
      <c r="E292" s="20"/>
      <c r="F292" s="20"/>
      <c r="G292" s="20"/>
      <c r="H292" s="11" t="str">
        <f aca="false">IF(B292="","",IFERROR(INDEX(Program!$H$2:$H$75,MATCH(B292,Program!$D$2:$D$75,0)),""))</f>
        <v/>
      </c>
      <c r="I292" s="11" t="str">
        <f aca="false">IF(B292="","",IFERROR(INDEX(Program!$I$2:$I$75,MATCH(B292,Program!$D$2:$D$75,0)),""))</f>
        <v/>
      </c>
      <c r="J292" s="11" t="str">
        <f aca="false">IF(COUNT(D292:G292)=0,"",COUNT(D292:G292))</f>
        <v/>
      </c>
      <c r="K292" s="12" t="str">
        <f aca="false">IF(OR(J292="",I292=""),"",IF(MIN(D292:G292)&gt;=I292,"Add load (smallest step)",IF(MAX(D292:G292)&lt;H292,"Below range: if again, drop 5–10%","Same load, add reps")))</f>
        <v/>
      </c>
      <c r="L292" s="20"/>
      <c r="M292" s="11" t="str">
        <f aca="false">IF(OR(L292="",C292="",H292="",C292=0),"",MAX(H292,ROUNDUP(30*((L292/C292)*(1+H292/30)-1),0)))</f>
        <v/>
      </c>
    </row>
    <row r="293" customFormat="false" ht="15" hidden="false" customHeight="false" outlineLevel="0" collapsed="false">
      <c r="A293" s="51"/>
      <c r="B293" s="54"/>
      <c r="C293" s="20"/>
      <c r="D293" s="20"/>
      <c r="E293" s="20"/>
      <c r="F293" s="20"/>
      <c r="G293" s="20"/>
      <c r="H293" s="11" t="str">
        <f aca="false">IF(B293="","",IFERROR(INDEX(Program!$H$2:$H$75,MATCH(B293,Program!$D$2:$D$75,0)),""))</f>
        <v/>
      </c>
      <c r="I293" s="11" t="str">
        <f aca="false">IF(B293="","",IFERROR(INDEX(Program!$I$2:$I$75,MATCH(B293,Program!$D$2:$D$75,0)),""))</f>
        <v/>
      </c>
      <c r="J293" s="11" t="str">
        <f aca="false">IF(COUNT(D293:G293)=0,"",COUNT(D293:G293))</f>
        <v/>
      </c>
      <c r="K293" s="12" t="str">
        <f aca="false">IF(OR(J293="",I293=""),"",IF(MIN(D293:G293)&gt;=I293,"Add load (smallest step)",IF(MAX(D293:G293)&lt;H293,"Below range: if again, drop 5–10%","Same load, add reps")))</f>
        <v/>
      </c>
      <c r="L293" s="20"/>
      <c r="M293" s="11" t="str">
        <f aca="false">IF(OR(L293="",C293="",H293="",C293=0),"",MAX(H293,ROUNDUP(30*((L293/C293)*(1+H293/30)-1),0)))</f>
        <v/>
      </c>
    </row>
    <row r="294" customFormat="false" ht="15" hidden="false" customHeight="false" outlineLevel="0" collapsed="false">
      <c r="A294" s="51"/>
      <c r="B294" s="54"/>
      <c r="C294" s="20"/>
      <c r="D294" s="20"/>
      <c r="E294" s="20"/>
      <c r="F294" s="20"/>
      <c r="G294" s="20"/>
      <c r="H294" s="11" t="str">
        <f aca="false">IF(B294="","",IFERROR(INDEX(Program!$H$2:$H$75,MATCH(B294,Program!$D$2:$D$75,0)),""))</f>
        <v/>
      </c>
      <c r="I294" s="11" t="str">
        <f aca="false">IF(B294="","",IFERROR(INDEX(Program!$I$2:$I$75,MATCH(B294,Program!$D$2:$D$75,0)),""))</f>
        <v/>
      </c>
      <c r="J294" s="11" t="str">
        <f aca="false">IF(COUNT(D294:G294)=0,"",COUNT(D294:G294))</f>
        <v/>
      </c>
      <c r="K294" s="12" t="str">
        <f aca="false">IF(OR(J294="",I294=""),"",IF(MIN(D294:G294)&gt;=I294,"Add load (smallest step)",IF(MAX(D294:G294)&lt;H294,"Below range: if again, drop 5–10%","Same load, add reps")))</f>
        <v/>
      </c>
      <c r="L294" s="20"/>
      <c r="M294" s="11" t="str">
        <f aca="false">IF(OR(L294="",C294="",H294="",C294=0),"",MAX(H294,ROUNDUP(30*((L294/C294)*(1+H294/30)-1),0)))</f>
        <v/>
      </c>
    </row>
    <row r="295" customFormat="false" ht="15" hidden="false" customHeight="false" outlineLevel="0" collapsed="false">
      <c r="A295" s="51"/>
      <c r="B295" s="54"/>
      <c r="C295" s="20"/>
      <c r="D295" s="20"/>
      <c r="E295" s="20"/>
      <c r="F295" s="20"/>
      <c r="G295" s="20"/>
      <c r="H295" s="11" t="str">
        <f aca="false">IF(B295="","",IFERROR(INDEX(Program!$H$2:$H$75,MATCH(B295,Program!$D$2:$D$75,0)),""))</f>
        <v/>
      </c>
      <c r="I295" s="11" t="str">
        <f aca="false">IF(B295="","",IFERROR(INDEX(Program!$I$2:$I$75,MATCH(B295,Program!$D$2:$D$75,0)),""))</f>
        <v/>
      </c>
      <c r="J295" s="11" t="str">
        <f aca="false">IF(COUNT(D295:G295)=0,"",COUNT(D295:G295))</f>
        <v/>
      </c>
      <c r="K295" s="12" t="str">
        <f aca="false">IF(OR(J295="",I295=""),"",IF(MIN(D295:G295)&gt;=I295,"Add load (smallest step)",IF(MAX(D295:G295)&lt;H295,"Below range: if again, drop 5–10%","Same load, add reps")))</f>
        <v/>
      </c>
      <c r="L295" s="20"/>
      <c r="M295" s="11" t="str">
        <f aca="false">IF(OR(L295="",C295="",H295="",C295=0),"",MAX(H295,ROUNDUP(30*((L295/C295)*(1+H295/30)-1),0)))</f>
        <v/>
      </c>
    </row>
    <row r="296" customFormat="false" ht="15" hidden="false" customHeight="false" outlineLevel="0" collapsed="false">
      <c r="A296" s="51"/>
      <c r="B296" s="54"/>
      <c r="C296" s="20"/>
      <c r="D296" s="20"/>
      <c r="E296" s="20"/>
      <c r="F296" s="20"/>
      <c r="G296" s="20"/>
      <c r="H296" s="11" t="str">
        <f aca="false">IF(B296="","",IFERROR(INDEX(Program!$H$2:$H$75,MATCH(B296,Program!$D$2:$D$75,0)),""))</f>
        <v/>
      </c>
      <c r="I296" s="11" t="str">
        <f aca="false">IF(B296="","",IFERROR(INDEX(Program!$I$2:$I$75,MATCH(B296,Program!$D$2:$D$75,0)),""))</f>
        <v/>
      </c>
      <c r="J296" s="11" t="str">
        <f aca="false">IF(COUNT(D296:G296)=0,"",COUNT(D296:G296))</f>
        <v/>
      </c>
      <c r="K296" s="12" t="str">
        <f aca="false">IF(OR(J296="",I296=""),"",IF(MIN(D296:G296)&gt;=I296,"Add load (smallest step)",IF(MAX(D296:G296)&lt;H296,"Below range: if again, drop 5–10%","Same load, add reps")))</f>
        <v/>
      </c>
      <c r="L296" s="20"/>
      <c r="M296" s="11" t="str">
        <f aca="false">IF(OR(L296="",C296="",H296="",C296=0),"",MAX(H296,ROUNDUP(30*((L296/C296)*(1+H296/30)-1),0)))</f>
        <v/>
      </c>
    </row>
    <row r="297" customFormat="false" ht="15" hidden="false" customHeight="false" outlineLevel="0" collapsed="false">
      <c r="A297" s="51"/>
      <c r="B297" s="54"/>
      <c r="C297" s="20"/>
      <c r="D297" s="20"/>
      <c r="E297" s="20"/>
      <c r="F297" s="20"/>
      <c r="G297" s="20"/>
      <c r="H297" s="11" t="str">
        <f aca="false">IF(B297="","",IFERROR(INDEX(Program!$H$2:$H$75,MATCH(B297,Program!$D$2:$D$75,0)),""))</f>
        <v/>
      </c>
      <c r="I297" s="11" t="str">
        <f aca="false">IF(B297="","",IFERROR(INDEX(Program!$I$2:$I$75,MATCH(B297,Program!$D$2:$D$75,0)),""))</f>
        <v/>
      </c>
      <c r="J297" s="11" t="str">
        <f aca="false">IF(COUNT(D297:G297)=0,"",COUNT(D297:G297))</f>
        <v/>
      </c>
      <c r="K297" s="12" t="str">
        <f aca="false">IF(OR(J297="",I297=""),"",IF(MIN(D297:G297)&gt;=I297,"Add load (smallest step)",IF(MAX(D297:G297)&lt;H297,"Below range: if again, drop 5–10%","Same load, add reps")))</f>
        <v/>
      </c>
      <c r="L297" s="20"/>
      <c r="M297" s="11" t="str">
        <f aca="false">IF(OR(L297="",C297="",H297="",C297=0),"",MAX(H297,ROUNDUP(30*((L297/C297)*(1+H297/30)-1),0)))</f>
        <v/>
      </c>
    </row>
    <row r="298" customFormat="false" ht="15" hidden="false" customHeight="false" outlineLevel="0" collapsed="false">
      <c r="A298" s="51"/>
      <c r="B298" s="54"/>
      <c r="C298" s="20"/>
      <c r="D298" s="20"/>
      <c r="E298" s="20"/>
      <c r="F298" s="20"/>
      <c r="G298" s="20"/>
      <c r="H298" s="11" t="str">
        <f aca="false">IF(B298="","",IFERROR(INDEX(Program!$H$2:$H$75,MATCH(B298,Program!$D$2:$D$75,0)),""))</f>
        <v/>
      </c>
      <c r="I298" s="11" t="str">
        <f aca="false">IF(B298="","",IFERROR(INDEX(Program!$I$2:$I$75,MATCH(B298,Program!$D$2:$D$75,0)),""))</f>
        <v/>
      </c>
      <c r="J298" s="11" t="str">
        <f aca="false">IF(COUNT(D298:G298)=0,"",COUNT(D298:G298))</f>
        <v/>
      </c>
      <c r="K298" s="12" t="str">
        <f aca="false">IF(OR(J298="",I298=""),"",IF(MIN(D298:G298)&gt;=I298,"Add load (smallest step)",IF(MAX(D298:G298)&lt;H298,"Below range: if again, drop 5–10%","Same load, add reps")))</f>
        <v/>
      </c>
      <c r="L298" s="20"/>
      <c r="M298" s="11" t="str">
        <f aca="false">IF(OR(L298="",C298="",H298="",C298=0),"",MAX(H298,ROUNDUP(30*((L298/C298)*(1+H298/30)-1),0)))</f>
        <v/>
      </c>
    </row>
    <row r="299" customFormat="false" ht="15" hidden="false" customHeight="false" outlineLevel="0" collapsed="false">
      <c r="A299" s="51"/>
      <c r="B299" s="54"/>
      <c r="C299" s="20"/>
      <c r="D299" s="20"/>
      <c r="E299" s="20"/>
      <c r="F299" s="20"/>
      <c r="G299" s="20"/>
      <c r="H299" s="11" t="str">
        <f aca="false">IF(B299="","",IFERROR(INDEX(Program!$H$2:$H$75,MATCH(B299,Program!$D$2:$D$75,0)),""))</f>
        <v/>
      </c>
      <c r="I299" s="11" t="str">
        <f aca="false">IF(B299="","",IFERROR(INDEX(Program!$I$2:$I$75,MATCH(B299,Program!$D$2:$D$75,0)),""))</f>
        <v/>
      </c>
      <c r="J299" s="11" t="str">
        <f aca="false">IF(COUNT(D299:G299)=0,"",COUNT(D299:G299))</f>
        <v/>
      </c>
      <c r="K299" s="12" t="str">
        <f aca="false">IF(OR(J299="",I299=""),"",IF(MIN(D299:G299)&gt;=I299,"Add load (smallest step)",IF(MAX(D299:G299)&lt;H299,"Below range: if again, drop 5–10%","Same load, add reps")))</f>
        <v/>
      </c>
      <c r="L299" s="20"/>
      <c r="M299" s="11" t="str">
        <f aca="false">IF(OR(L299="",C299="",H299="",C299=0),"",MAX(H299,ROUNDUP(30*((L299/C299)*(1+H299/30)-1),0)))</f>
        <v/>
      </c>
    </row>
    <row r="300" customFormat="false" ht="15" hidden="false" customHeight="false" outlineLevel="0" collapsed="false">
      <c r="A300" s="51"/>
      <c r="B300" s="54"/>
      <c r="C300" s="20"/>
      <c r="D300" s="20"/>
      <c r="E300" s="20"/>
      <c r="F300" s="20"/>
      <c r="G300" s="20"/>
      <c r="H300" s="11" t="str">
        <f aca="false">IF(B300="","",IFERROR(INDEX(Program!$H$2:$H$75,MATCH(B300,Program!$D$2:$D$75,0)),""))</f>
        <v/>
      </c>
      <c r="I300" s="11" t="str">
        <f aca="false">IF(B300="","",IFERROR(INDEX(Program!$I$2:$I$75,MATCH(B300,Program!$D$2:$D$75,0)),""))</f>
        <v/>
      </c>
      <c r="J300" s="11" t="str">
        <f aca="false">IF(COUNT(D300:G300)=0,"",COUNT(D300:G300))</f>
        <v/>
      </c>
      <c r="K300" s="12" t="str">
        <f aca="false">IF(OR(J300="",I300=""),"",IF(MIN(D300:G300)&gt;=I300,"Add load (smallest step)",IF(MAX(D300:G300)&lt;H300,"Below range: if again, drop 5–10%","Same load, add reps")))</f>
        <v/>
      </c>
      <c r="L300" s="20"/>
      <c r="M300" s="11" t="str">
        <f aca="false">IF(OR(L300="",C300="",H300="",C300=0),"",MAX(H300,ROUNDUP(30*((L300/C300)*(1+H300/30)-1),0)))</f>
        <v/>
      </c>
    </row>
    <row r="301" customFormat="false" ht="15" hidden="false" customHeight="false" outlineLevel="0" collapsed="false">
      <c r="A301" s="51"/>
      <c r="B301" s="54"/>
      <c r="C301" s="20"/>
      <c r="D301" s="20"/>
      <c r="E301" s="20"/>
      <c r="F301" s="20"/>
      <c r="G301" s="20"/>
      <c r="H301" s="11" t="str">
        <f aca="false">IF(B301="","",IFERROR(INDEX(Program!$H$2:$H$75,MATCH(B301,Program!$D$2:$D$75,0)),""))</f>
        <v/>
      </c>
      <c r="I301" s="11" t="str">
        <f aca="false">IF(B301="","",IFERROR(INDEX(Program!$I$2:$I$75,MATCH(B301,Program!$D$2:$D$75,0)),""))</f>
        <v/>
      </c>
      <c r="J301" s="11" t="str">
        <f aca="false">IF(COUNT(D301:G301)=0,"",COUNT(D301:G301))</f>
        <v/>
      </c>
      <c r="K301" s="12" t="str">
        <f aca="false">IF(OR(J301="",I301=""),"",IF(MIN(D301:G301)&gt;=I301,"Add load (smallest step)",IF(MAX(D301:G301)&lt;H301,"Below range: if again, drop 5–10%","Same load, add reps")))</f>
        <v/>
      </c>
      <c r="L301" s="20"/>
      <c r="M301" s="11" t="str">
        <f aca="false">IF(OR(L301="",C301="",H301="",C301=0),"",MAX(H301,ROUNDUP(30*((L301/C301)*(1+H301/30)-1),0)))</f>
        <v/>
      </c>
    </row>
    <row r="302" customFormat="false" ht="15" hidden="false" customHeight="false" outlineLevel="0" collapsed="false">
      <c r="A302" s="51"/>
      <c r="B302" s="54"/>
      <c r="C302" s="20"/>
      <c r="D302" s="20"/>
      <c r="E302" s="20"/>
      <c r="F302" s="20"/>
      <c r="G302" s="20"/>
      <c r="H302" s="11" t="str">
        <f aca="false">IF(B302="","",IFERROR(INDEX(Program!$H$2:$H$75,MATCH(B302,Program!$D$2:$D$75,0)),""))</f>
        <v/>
      </c>
      <c r="I302" s="11" t="str">
        <f aca="false">IF(B302="","",IFERROR(INDEX(Program!$I$2:$I$75,MATCH(B302,Program!$D$2:$D$75,0)),""))</f>
        <v/>
      </c>
      <c r="J302" s="11" t="str">
        <f aca="false">IF(COUNT(D302:G302)=0,"",COUNT(D302:G302))</f>
        <v/>
      </c>
      <c r="K302" s="12" t="str">
        <f aca="false">IF(OR(J302="",I302=""),"",IF(MIN(D302:G302)&gt;=I302,"Add load (smallest step)",IF(MAX(D302:G302)&lt;H302,"Below range: if again, drop 5–10%","Same load, add reps")))</f>
        <v/>
      </c>
      <c r="L302" s="20"/>
      <c r="M302" s="11" t="str">
        <f aca="false">IF(OR(L302="",C302="",H302="",C302=0),"",MAX(H302,ROUNDUP(30*((L302/C302)*(1+H302/30)-1),0)))</f>
        <v/>
      </c>
    </row>
    <row r="303" customFormat="false" ht="15" hidden="false" customHeight="false" outlineLevel="0" collapsed="false">
      <c r="A303" s="51"/>
      <c r="B303" s="54"/>
      <c r="C303" s="20"/>
      <c r="D303" s="20"/>
      <c r="E303" s="20"/>
      <c r="F303" s="20"/>
      <c r="G303" s="20"/>
      <c r="H303" s="11" t="str">
        <f aca="false">IF(B303="","",IFERROR(INDEX(Program!$H$2:$H$75,MATCH(B303,Program!$D$2:$D$75,0)),""))</f>
        <v/>
      </c>
      <c r="I303" s="11" t="str">
        <f aca="false">IF(B303="","",IFERROR(INDEX(Program!$I$2:$I$75,MATCH(B303,Program!$D$2:$D$75,0)),""))</f>
        <v/>
      </c>
      <c r="J303" s="11" t="str">
        <f aca="false">IF(COUNT(D303:G303)=0,"",COUNT(D303:G303))</f>
        <v/>
      </c>
      <c r="K303" s="12" t="str">
        <f aca="false">IF(OR(J303="",I303=""),"",IF(MIN(D303:G303)&gt;=I303,"Add load (smallest step)",IF(MAX(D303:G303)&lt;H303,"Below range: if again, drop 5–10%","Same load, add reps")))</f>
        <v/>
      </c>
      <c r="L303" s="20"/>
      <c r="M303" s="11" t="str">
        <f aca="false">IF(OR(L303="",C303="",H303="",C303=0),"",MAX(H303,ROUNDUP(30*((L303/C303)*(1+H303/30)-1),0)))</f>
        <v/>
      </c>
    </row>
    <row r="304" customFormat="false" ht="15" hidden="false" customHeight="false" outlineLevel="0" collapsed="false">
      <c r="A304" s="51"/>
      <c r="B304" s="54"/>
      <c r="C304" s="20"/>
      <c r="D304" s="20"/>
      <c r="E304" s="20"/>
      <c r="F304" s="20"/>
      <c r="G304" s="20"/>
      <c r="H304" s="11" t="str">
        <f aca="false">IF(B304="","",IFERROR(INDEX(Program!$H$2:$H$75,MATCH(B304,Program!$D$2:$D$75,0)),""))</f>
        <v/>
      </c>
      <c r="I304" s="11" t="str">
        <f aca="false">IF(B304="","",IFERROR(INDEX(Program!$I$2:$I$75,MATCH(B304,Program!$D$2:$D$75,0)),""))</f>
        <v/>
      </c>
      <c r="J304" s="11" t="str">
        <f aca="false">IF(COUNT(D304:G304)=0,"",COUNT(D304:G304))</f>
        <v/>
      </c>
      <c r="K304" s="12" t="str">
        <f aca="false">IF(OR(J304="",I304=""),"",IF(MIN(D304:G304)&gt;=I304,"Add load (smallest step)",IF(MAX(D304:G304)&lt;H304,"Below range: if again, drop 5–10%","Same load, add reps")))</f>
        <v/>
      </c>
      <c r="L304" s="20"/>
      <c r="M304" s="11" t="str">
        <f aca="false">IF(OR(L304="",C304="",H304="",C304=0),"",MAX(H304,ROUNDUP(30*((L304/C304)*(1+H304/30)-1),0)))</f>
        <v/>
      </c>
    </row>
    <row r="305" customFormat="false" ht="15" hidden="false" customHeight="false" outlineLevel="0" collapsed="false">
      <c r="A305" s="51"/>
      <c r="B305" s="54"/>
      <c r="C305" s="20"/>
      <c r="D305" s="20"/>
      <c r="E305" s="20"/>
      <c r="F305" s="20"/>
      <c r="G305" s="20"/>
      <c r="H305" s="11" t="str">
        <f aca="false">IF(B305="","",IFERROR(INDEX(Program!$H$2:$H$75,MATCH(B305,Program!$D$2:$D$75,0)),""))</f>
        <v/>
      </c>
      <c r="I305" s="11" t="str">
        <f aca="false">IF(B305="","",IFERROR(INDEX(Program!$I$2:$I$75,MATCH(B305,Program!$D$2:$D$75,0)),""))</f>
        <v/>
      </c>
      <c r="J305" s="11" t="str">
        <f aca="false">IF(COUNT(D305:G305)=0,"",COUNT(D305:G305))</f>
        <v/>
      </c>
      <c r="K305" s="12" t="str">
        <f aca="false">IF(OR(J305="",I305=""),"",IF(MIN(D305:G305)&gt;=I305,"Add load (smallest step)",IF(MAX(D305:G305)&lt;H305,"Below range: if again, drop 5–10%","Same load, add reps")))</f>
        <v/>
      </c>
      <c r="L305" s="20"/>
      <c r="M305" s="11" t="str">
        <f aca="false">IF(OR(L305="",C305="",H305="",C305=0),"",MAX(H305,ROUNDUP(30*((L305/C305)*(1+H305/30)-1),0)))</f>
        <v/>
      </c>
    </row>
    <row r="306" customFormat="false" ht="15" hidden="false" customHeight="false" outlineLevel="0" collapsed="false">
      <c r="A306" s="51"/>
      <c r="B306" s="54"/>
      <c r="C306" s="20"/>
      <c r="D306" s="20"/>
      <c r="E306" s="20"/>
      <c r="F306" s="20"/>
      <c r="G306" s="20"/>
      <c r="H306" s="11" t="str">
        <f aca="false">IF(B306="","",IFERROR(INDEX(Program!$H$2:$H$75,MATCH(B306,Program!$D$2:$D$75,0)),""))</f>
        <v/>
      </c>
      <c r="I306" s="11" t="str">
        <f aca="false">IF(B306="","",IFERROR(INDEX(Program!$I$2:$I$75,MATCH(B306,Program!$D$2:$D$75,0)),""))</f>
        <v/>
      </c>
      <c r="J306" s="11" t="str">
        <f aca="false">IF(COUNT(D306:G306)=0,"",COUNT(D306:G306))</f>
        <v/>
      </c>
      <c r="K306" s="12" t="str">
        <f aca="false">IF(OR(J306="",I306=""),"",IF(MIN(D306:G306)&gt;=I306,"Add load (smallest step)",IF(MAX(D306:G306)&lt;H306,"Below range: if again, drop 5–10%","Same load, add reps")))</f>
        <v/>
      </c>
      <c r="L306" s="20"/>
      <c r="M306" s="11" t="str">
        <f aca="false">IF(OR(L306="",C306="",H306="",C306=0),"",MAX(H306,ROUNDUP(30*((L306/C306)*(1+H306/30)-1),0)))</f>
        <v/>
      </c>
    </row>
    <row r="307" customFormat="false" ht="15" hidden="false" customHeight="false" outlineLevel="0" collapsed="false">
      <c r="A307" s="51"/>
      <c r="B307" s="54"/>
      <c r="C307" s="20"/>
      <c r="D307" s="20"/>
      <c r="E307" s="20"/>
      <c r="F307" s="20"/>
      <c r="G307" s="20"/>
      <c r="H307" s="11" t="str">
        <f aca="false">IF(B307="","",IFERROR(INDEX(Program!$H$2:$H$75,MATCH(B307,Program!$D$2:$D$75,0)),""))</f>
        <v/>
      </c>
      <c r="I307" s="11" t="str">
        <f aca="false">IF(B307="","",IFERROR(INDEX(Program!$I$2:$I$75,MATCH(B307,Program!$D$2:$D$75,0)),""))</f>
        <v/>
      </c>
      <c r="J307" s="11" t="str">
        <f aca="false">IF(COUNT(D307:G307)=0,"",COUNT(D307:G307))</f>
        <v/>
      </c>
      <c r="K307" s="12" t="str">
        <f aca="false">IF(OR(J307="",I307=""),"",IF(MIN(D307:G307)&gt;=I307,"Add load (smallest step)",IF(MAX(D307:G307)&lt;H307,"Below range: if again, drop 5–10%","Same load, add reps")))</f>
        <v/>
      </c>
      <c r="L307" s="20"/>
      <c r="M307" s="11" t="str">
        <f aca="false">IF(OR(L307="",C307="",H307="",C307=0),"",MAX(H307,ROUNDUP(30*((L307/C307)*(1+H307/30)-1),0)))</f>
        <v/>
      </c>
    </row>
    <row r="308" customFormat="false" ht="15" hidden="false" customHeight="false" outlineLevel="0" collapsed="false">
      <c r="A308" s="51"/>
      <c r="B308" s="54"/>
      <c r="C308" s="20"/>
      <c r="D308" s="20"/>
      <c r="E308" s="20"/>
      <c r="F308" s="20"/>
      <c r="G308" s="20"/>
      <c r="H308" s="11" t="str">
        <f aca="false">IF(B308="","",IFERROR(INDEX(Program!$H$2:$H$75,MATCH(B308,Program!$D$2:$D$75,0)),""))</f>
        <v/>
      </c>
      <c r="I308" s="11" t="str">
        <f aca="false">IF(B308="","",IFERROR(INDEX(Program!$I$2:$I$75,MATCH(B308,Program!$D$2:$D$75,0)),""))</f>
        <v/>
      </c>
      <c r="J308" s="11" t="str">
        <f aca="false">IF(COUNT(D308:G308)=0,"",COUNT(D308:G308))</f>
        <v/>
      </c>
      <c r="K308" s="12" t="str">
        <f aca="false">IF(OR(J308="",I308=""),"",IF(MIN(D308:G308)&gt;=I308,"Add load (smallest step)",IF(MAX(D308:G308)&lt;H308,"Below range: if again, drop 5–10%","Same load, add reps")))</f>
        <v/>
      </c>
      <c r="L308" s="20"/>
      <c r="M308" s="11" t="str">
        <f aca="false">IF(OR(L308="",C308="",H308="",C308=0),"",MAX(H308,ROUNDUP(30*((L308/C308)*(1+H308/30)-1),0)))</f>
        <v/>
      </c>
    </row>
    <row r="309" customFormat="false" ht="15" hidden="false" customHeight="false" outlineLevel="0" collapsed="false">
      <c r="A309" s="51"/>
      <c r="B309" s="54"/>
      <c r="C309" s="20"/>
      <c r="D309" s="20"/>
      <c r="E309" s="20"/>
      <c r="F309" s="20"/>
      <c r="G309" s="20"/>
      <c r="H309" s="11" t="str">
        <f aca="false">IF(B309="","",IFERROR(INDEX(Program!$H$2:$H$75,MATCH(B309,Program!$D$2:$D$75,0)),""))</f>
        <v/>
      </c>
      <c r="I309" s="11" t="str">
        <f aca="false">IF(B309="","",IFERROR(INDEX(Program!$I$2:$I$75,MATCH(B309,Program!$D$2:$D$75,0)),""))</f>
        <v/>
      </c>
      <c r="J309" s="11" t="str">
        <f aca="false">IF(COUNT(D309:G309)=0,"",COUNT(D309:G309))</f>
        <v/>
      </c>
      <c r="K309" s="12" t="str">
        <f aca="false">IF(OR(J309="",I309=""),"",IF(MIN(D309:G309)&gt;=I309,"Add load (smallest step)",IF(MAX(D309:G309)&lt;H309,"Below range: if again, drop 5–10%","Same load, add reps")))</f>
        <v/>
      </c>
      <c r="L309" s="20"/>
      <c r="M309" s="11" t="str">
        <f aca="false">IF(OR(L309="",C309="",H309="",C309=0),"",MAX(H309,ROUNDUP(30*((L309/C309)*(1+H309/30)-1),0)))</f>
        <v/>
      </c>
    </row>
    <row r="310" customFormat="false" ht="15" hidden="false" customHeight="false" outlineLevel="0" collapsed="false">
      <c r="A310" s="51"/>
      <c r="B310" s="54"/>
      <c r="C310" s="20"/>
      <c r="D310" s="20"/>
      <c r="E310" s="20"/>
      <c r="F310" s="20"/>
      <c r="G310" s="20"/>
      <c r="H310" s="11" t="str">
        <f aca="false">IF(B310="","",IFERROR(INDEX(Program!$H$2:$H$75,MATCH(B310,Program!$D$2:$D$75,0)),""))</f>
        <v/>
      </c>
      <c r="I310" s="11" t="str">
        <f aca="false">IF(B310="","",IFERROR(INDEX(Program!$I$2:$I$75,MATCH(B310,Program!$D$2:$D$75,0)),""))</f>
        <v/>
      </c>
      <c r="J310" s="11" t="str">
        <f aca="false">IF(COUNT(D310:G310)=0,"",COUNT(D310:G310))</f>
        <v/>
      </c>
      <c r="K310" s="12" t="str">
        <f aca="false">IF(OR(J310="",I310=""),"",IF(MIN(D310:G310)&gt;=I310,"Add load (smallest step)",IF(MAX(D310:G310)&lt;H310,"Below range: if again, drop 5–10%","Same load, add reps")))</f>
        <v/>
      </c>
      <c r="L310" s="20"/>
      <c r="M310" s="11" t="str">
        <f aca="false">IF(OR(L310="",C310="",H310="",C310=0),"",MAX(H310,ROUNDUP(30*((L310/C310)*(1+H310/30)-1),0)))</f>
        <v/>
      </c>
    </row>
    <row r="311" customFormat="false" ht="15" hidden="false" customHeight="false" outlineLevel="0" collapsed="false">
      <c r="A311" s="51"/>
      <c r="B311" s="54"/>
      <c r="C311" s="20"/>
      <c r="D311" s="20"/>
      <c r="E311" s="20"/>
      <c r="F311" s="20"/>
      <c r="G311" s="20"/>
      <c r="H311" s="11" t="str">
        <f aca="false">IF(B311="","",IFERROR(INDEX(Program!$H$2:$H$75,MATCH(B311,Program!$D$2:$D$75,0)),""))</f>
        <v/>
      </c>
      <c r="I311" s="11" t="str">
        <f aca="false">IF(B311="","",IFERROR(INDEX(Program!$I$2:$I$75,MATCH(B311,Program!$D$2:$D$75,0)),""))</f>
        <v/>
      </c>
      <c r="J311" s="11" t="str">
        <f aca="false">IF(COUNT(D311:G311)=0,"",COUNT(D311:G311))</f>
        <v/>
      </c>
      <c r="K311" s="12" t="str">
        <f aca="false">IF(OR(J311="",I311=""),"",IF(MIN(D311:G311)&gt;=I311,"Add load (smallest step)",IF(MAX(D311:G311)&lt;H311,"Below range: if again, drop 5–10%","Same load, add reps")))</f>
        <v/>
      </c>
      <c r="L311" s="20"/>
      <c r="M311" s="11" t="str">
        <f aca="false">IF(OR(L311="",C311="",H311="",C311=0),"",MAX(H311,ROUNDUP(30*((L311/C311)*(1+H311/30)-1),0)))</f>
        <v/>
      </c>
    </row>
    <row r="312" customFormat="false" ht="15" hidden="false" customHeight="false" outlineLevel="0" collapsed="false">
      <c r="A312" s="51"/>
      <c r="B312" s="54"/>
      <c r="C312" s="20"/>
      <c r="D312" s="20"/>
      <c r="E312" s="20"/>
      <c r="F312" s="20"/>
      <c r="G312" s="20"/>
      <c r="H312" s="11" t="str">
        <f aca="false">IF(B312="","",IFERROR(INDEX(Program!$H$2:$H$75,MATCH(B312,Program!$D$2:$D$75,0)),""))</f>
        <v/>
      </c>
      <c r="I312" s="11" t="str">
        <f aca="false">IF(B312="","",IFERROR(INDEX(Program!$I$2:$I$75,MATCH(B312,Program!$D$2:$D$75,0)),""))</f>
        <v/>
      </c>
      <c r="J312" s="11" t="str">
        <f aca="false">IF(COUNT(D312:G312)=0,"",COUNT(D312:G312))</f>
        <v/>
      </c>
      <c r="K312" s="12" t="str">
        <f aca="false">IF(OR(J312="",I312=""),"",IF(MIN(D312:G312)&gt;=I312,"Add load (smallest step)",IF(MAX(D312:G312)&lt;H312,"Below range: if again, drop 5–10%","Same load, add reps")))</f>
        <v/>
      </c>
      <c r="L312" s="20"/>
      <c r="M312" s="11" t="str">
        <f aca="false">IF(OR(L312="",C312="",H312="",C312=0),"",MAX(H312,ROUNDUP(30*((L312/C312)*(1+H312/30)-1),0)))</f>
        <v/>
      </c>
    </row>
    <row r="313" customFormat="false" ht="15" hidden="false" customHeight="false" outlineLevel="0" collapsed="false">
      <c r="A313" s="51"/>
      <c r="B313" s="54"/>
      <c r="C313" s="20"/>
      <c r="D313" s="20"/>
      <c r="E313" s="20"/>
      <c r="F313" s="20"/>
      <c r="G313" s="20"/>
      <c r="H313" s="11" t="str">
        <f aca="false">IF(B313="","",IFERROR(INDEX(Program!$H$2:$H$75,MATCH(B313,Program!$D$2:$D$75,0)),""))</f>
        <v/>
      </c>
      <c r="I313" s="11" t="str">
        <f aca="false">IF(B313="","",IFERROR(INDEX(Program!$I$2:$I$75,MATCH(B313,Program!$D$2:$D$75,0)),""))</f>
        <v/>
      </c>
      <c r="J313" s="11" t="str">
        <f aca="false">IF(COUNT(D313:G313)=0,"",COUNT(D313:G313))</f>
        <v/>
      </c>
      <c r="K313" s="12" t="str">
        <f aca="false">IF(OR(J313="",I313=""),"",IF(MIN(D313:G313)&gt;=I313,"Add load (smallest step)",IF(MAX(D313:G313)&lt;H313,"Below range: if again, drop 5–10%","Same load, add reps")))</f>
        <v/>
      </c>
      <c r="L313" s="20"/>
      <c r="M313" s="11" t="str">
        <f aca="false">IF(OR(L313="",C313="",H313="",C313=0),"",MAX(H313,ROUNDUP(30*((L313/C313)*(1+H313/30)-1),0)))</f>
        <v/>
      </c>
    </row>
    <row r="314" customFormat="false" ht="15" hidden="false" customHeight="false" outlineLevel="0" collapsed="false">
      <c r="A314" s="51"/>
      <c r="B314" s="54"/>
      <c r="C314" s="20"/>
      <c r="D314" s="20"/>
      <c r="E314" s="20"/>
      <c r="F314" s="20"/>
      <c r="G314" s="20"/>
      <c r="H314" s="11" t="str">
        <f aca="false">IF(B314="","",IFERROR(INDEX(Program!$H$2:$H$75,MATCH(B314,Program!$D$2:$D$75,0)),""))</f>
        <v/>
      </c>
      <c r="I314" s="11" t="str">
        <f aca="false">IF(B314="","",IFERROR(INDEX(Program!$I$2:$I$75,MATCH(B314,Program!$D$2:$D$75,0)),""))</f>
        <v/>
      </c>
      <c r="J314" s="11" t="str">
        <f aca="false">IF(COUNT(D314:G314)=0,"",COUNT(D314:G314))</f>
        <v/>
      </c>
      <c r="K314" s="12" t="str">
        <f aca="false">IF(OR(J314="",I314=""),"",IF(MIN(D314:G314)&gt;=I314,"Add load (smallest step)",IF(MAX(D314:G314)&lt;H314,"Below range: if again, drop 5–10%","Same load, add reps")))</f>
        <v/>
      </c>
      <c r="L314" s="20"/>
      <c r="M314" s="11" t="str">
        <f aca="false">IF(OR(L314="",C314="",H314="",C314=0),"",MAX(H314,ROUNDUP(30*((L314/C314)*(1+H314/30)-1),0)))</f>
        <v/>
      </c>
    </row>
    <row r="315" customFormat="false" ht="15" hidden="false" customHeight="false" outlineLevel="0" collapsed="false">
      <c r="A315" s="51"/>
      <c r="B315" s="54"/>
      <c r="C315" s="20"/>
      <c r="D315" s="20"/>
      <c r="E315" s="20"/>
      <c r="F315" s="20"/>
      <c r="G315" s="20"/>
      <c r="H315" s="11" t="str">
        <f aca="false">IF(B315="","",IFERROR(INDEX(Program!$H$2:$H$75,MATCH(B315,Program!$D$2:$D$75,0)),""))</f>
        <v/>
      </c>
      <c r="I315" s="11" t="str">
        <f aca="false">IF(B315="","",IFERROR(INDEX(Program!$I$2:$I$75,MATCH(B315,Program!$D$2:$D$75,0)),""))</f>
        <v/>
      </c>
      <c r="J315" s="11" t="str">
        <f aca="false">IF(COUNT(D315:G315)=0,"",COUNT(D315:G315))</f>
        <v/>
      </c>
      <c r="K315" s="12" t="str">
        <f aca="false">IF(OR(J315="",I315=""),"",IF(MIN(D315:G315)&gt;=I315,"Add load (smallest step)",IF(MAX(D315:G315)&lt;H315,"Below range: if again, drop 5–10%","Same load, add reps")))</f>
        <v/>
      </c>
      <c r="L315" s="20"/>
      <c r="M315" s="11" t="str">
        <f aca="false">IF(OR(L315="",C315="",H315="",C315=0),"",MAX(H315,ROUNDUP(30*((L315/C315)*(1+H315/30)-1),0)))</f>
        <v/>
      </c>
    </row>
    <row r="316" customFormat="false" ht="15" hidden="false" customHeight="false" outlineLevel="0" collapsed="false">
      <c r="A316" s="51"/>
      <c r="B316" s="54"/>
      <c r="C316" s="20"/>
      <c r="D316" s="20"/>
      <c r="E316" s="20"/>
      <c r="F316" s="20"/>
      <c r="G316" s="20"/>
      <c r="H316" s="11" t="str">
        <f aca="false">IF(B316="","",IFERROR(INDEX(Program!$H$2:$H$75,MATCH(B316,Program!$D$2:$D$75,0)),""))</f>
        <v/>
      </c>
      <c r="I316" s="11" t="str">
        <f aca="false">IF(B316="","",IFERROR(INDEX(Program!$I$2:$I$75,MATCH(B316,Program!$D$2:$D$75,0)),""))</f>
        <v/>
      </c>
      <c r="J316" s="11" t="str">
        <f aca="false">IF(COUNT(D316:G316)=0,"",COUNT(D316:G316))</f>
        <v/>
      </c>
      <c r="K316" s="12" t="str">
        <f aca="false">IF(OR(J316="",I316=""),"",IF(MIN(D316:G316)&gt;=I316,"Add load (smallest step)",IF(MAX(D316:G316)&lt;H316,"Below range: if again, drop 5–10%","Same load, add reps")))</f>
        <v/>
      </c>
      <c r="L316" s="20"/>
      <c r="M316" s="11" t="str">
        <f aca="false">IF(OR(L316="",C316="",H316="",C316=0),"",MAX(H316,ROUNDUP(30*((L316/C316)*(1+H316/30)-1),0)))</f>
        <v/>
      </c>
    </row>
    <row r="317" customFormat="false" ht="15" hidden="false" customHeight="false" outlineLevel="0" collapsed="false">
      <c r="A317" s="51"/>
      <c r="B317" s="54"/>
      <c r="C317" s="20"/>
      <c r="D317" s="20"/>
      <c r="E317" s="20"/>
      <c r="F317" s="20"/>
      <c r="G317" s="20"/>
      <c r="H317" s="11" t="str">
        <f aca="false">IF(B317="","",IFERROR(INDEX(Program!$H$2:$H$75,MATCH(B317,Program!$D$2:$D$75,0)),""))</f>
        <v/>
      </c>
      <c r="I317" s="11" t="str">
        <f aca="false">IF(B317="","",IFERROR(INDEX(Program!$I$2:$I$75,MATCH(B317,Program!$D$2:$D$75,0)),""))</f>
        <v/>
      </c>
      <c r="J317" s="11" t="str">
        <f aca="false">IF(COUNT(D317:G317)=0,"",COUNT(D317:G317))</f>
        <v/>
      </c>
      <c r="K317" s="12" t="str">
        <f aca="false">IF(OR(J317="",I317=""),"",IF(MIN(D317:G317)&gt;=I317,"Add load (smallest step)",IF(MAX(D317:G317)&lt;H317,"Below range: if again, drop 5–10%","Same load, add reps")))</f>
        <v/>
      </c>
      <c r="L317" s="20"/>
      <c r="M317" s="11" t="str">
        <f aca="false">IF(OR(L317="",C317="",H317="",C317=0),"",MAX(H317,ROUNDUP(30*((L317/C317)*(1+H317/30)-1),0)))</f>
        <v/>
      </c>
    </row>
    <row r="318" customFormat="false" ht="15" hidden="false" customHeight="false" outlineLevel="0" collapsed="false">
      <c r="A318" s="51"/>
      <c r="B318" s="54"/>
      <c r="C318" s="20"/>
      <c r="D318" s="20"/>
      <c r="E318" s="20"/>
      <c r="F318" s="20"/>
      <c r="G318" s="20"/>
      <c r="H318" s="11" t="str">
        <f aca="false">IF(B318="","",IFERROR(INDEX(Program!$H$2:$H$75,MATCH(B318,Program!$D$2:$D$75,0)),""))</f>
        <v/>
      </c>
      <c r="I318" s="11" t="str">
        <f aca="false">IF(B318="","",IFERROR(INDEX(Program!$I$2:$I$75,MATCH(B318,Program!$D$2:$D$75,0)),""))</f>
        <v/>
      </c>
      <c r="J318" s="11" t="str">
        <f aca="false">IF(COUNT(D318:G318)=0,"",COUNT(D318:G318))</f>
        <v/>
      </c>
      <c r="K318" s="12" t="str">
        <f aca="false">IF(OR(J318="",I318=""),"",IF(MIN(D318:G318)&gt;=I318,"Add load (smallest step)",IF(MAX(D318:G318)&lt;H318,"Below range: if again, drop 5–10%","Same load, add reps")))</f>
        <v/>
      </c>
      <c r="L318" s="20"/>
      <c r="M318" s="11" t="str">
        <f aca="false">IF(OR(L318="",C318="",H318="",C318=0),"",MAX(H318,ROUNDUP(30*((L318/C318)*(1+H318/30)-1),0)))</f>
        <v/>
      </c>
    </row>
    <row r="319" customFormat="false" ht="15" hidden="false" customHeight="false" outlineLevel="0" collapsed="false">
      <c r="A319" s="51"/>
      <c r="B319" s="54"/>
      <c r="C319" s="20"/>
      <c r="D319" s="20"/>
      <c r="E319" s="20"/>
      <c r="F319" s="20"/>
      <c r="G319" s="20"/>
      <c r="H319" s="11" t="str">
        <f aca="false">IF(B319="","",IFERROR(INDEX(Program!$H$2:$H$75,MATCH(B319,Program!$D$2:$D$75,0)),""))</f>
        <v/>
      </c>
      <c r="I319" s="11" t="str">
        <f aca="false">IF(B319="","",IFERROR(INDEX(Program!$I$2:$I$75,MATCH(B319,Program!$D$2:$D$75,0)),""))</f>
        <v/>
      </c>
      <c r="J319" s="11" t="str">
        <f aca="false">IF(COUNT(D319:G319)=0,"",COUNT(D319:G319))</f>
        <v/>
      </c>
      <c r="K319" s="12" t="str">
        <f aca="false">IF(OR(J319="",I319=""),"",IF(MIN(D319:G319)&gt;=I319,"Add load (smallest step)",IF(MAX(D319:G319)&lt;H319,"Below range: if again, drop 5–10%","Same load, add reps")))</f>
        <v/>
      </c>
      <c r="L319" s="20"/>
      <c r="M319" s="11" t="str">
        <f aca="false">IF(OR(L319="",C319="",H319="",C319=0),"",MAX(H319,ROUNDUP(30*((L319/C319)*(1+H319/30)-1),0)))</f>
        <v/>
      </c>
    </row>
    <row r="320" customFormat="false" ht="15" hidden="false" customHeight="false" outlineLevel="0" collapsed="false">
      <c r="A320" s="51"/>
      <c r="B320" s="54"/>
      <c r="C320" s="20"/>
      <c r="D320" s="20"/>
      <c r="E320" s="20"/>
      <c r="F320" s="20"/>
      <c r="G320" s="20"/>
      <c r="H320" s="11" t="str">
        <f aca="false">IF(B320="","",IFERROR(INDEX(Program!$H$2:$H$75,MATCH(B320,Program!$D$2:$D$75,0)),""))</f>
        <v/>
      </c>
      <c r="I320" s="11" t="str">
        <f aca="false">IF(B320="","",IFERROR(INDEX(Program!$I$2:$I$75,MATCH(B320,Program!$D$2:$D$75,0)),""))</f>
        <v/>
      </c>
      <c r="J320" s="11" t="str">
        <f aca="false">IF(COUNT(D320:G320)=0,"",COUNT(D320:G320))</f>
        <v/>
      </c>
      <c r="K320" s="12" t="str">
        <f aca="false">IF(OR(J320="",I320=""),"",IF(MIN(D320:G320)&gt;=I320,"Add load (smallest step)",IF(MAX(D320:G320)&lt;H320,"Below range: if again, drop 5–10%","Same load, add reps")))</f>
        <v/>
      </c>
      <c r="L320" s="20"/>
      <c r="M320" s="11" t="str">
        <f aca="false">IF(OR(L320="",C320="",H320="",C320=0),"",MAX(H320,ROUNDUP(30*((L320/C320)*(1+H320/30)-1),0)))</f>
        <v/>
      </c>
    </row>
    <row r="321" customFormat="false" ht="15" hidden="false" customHeight="false" outlineLevel="0" collapsed="false">
      <c r="A321" s="51"/>
      <c r="B321" s="54"/>
      <c r="C321" s="20"/>
      <c r="D321" s="20"/>
      <c r="E321" s="20"/>
      <c r="F321" s="20"/>
      <c r="G321" s="20"/>
      <c r="H321" s="11" t="str">
        <f aca="false">IF(B321="","",IFERROR(INDEX(Program!$H$2:$H$75,MATCH(B321,Program!$D$2:$D$75,0)),""))</f>
        <v/>
      </c>
      <c r="I321" s="11" t="str">
        <f aca="false">IF(B321="","",IFERROR(INDEX(Program!$I$2:$I$75,MATCH(B321,Program!$D$2:$D$75,0)),""))</f>
        <v/>
      </c>
      <c r="J321" s="11" t="str">
        <f aca="false">IF(COUNT(D321:G321)=0,"",COUNT(D321:G321))</f>
        <v/>
      </c>
      <c r="K321" s="12" t="str">
        <f aca="false">IF(OR(J321="",I321=""),"",IF(MIN(D321:G321)&gt;=I321,"Add load (smallest step)",IF(MAX(D321:G321)&lt;H321,"Below range: if again, drop 5–10%","Same load, add reps")))</f>
        <v/>
      </c>
      <c r="L321" s="20"/>
      <c r="M321" s="11" t="str">
        <f aca="false">IF(OR(L321="",C321="",H321="",C321=0),"",MAX(H321,ROUNDUP(30*((L321/C321)*(1+H321/30)-1),0)))</f>
        <v/>
      </c>
    </row>
    <row r="322" customFormat="false" ht="15" hidden="false" customHeight="false" outlineLevel="0" collapsed="false">
      <c r="A322" s="51"/>
      <c r="B322" s="54"/>
      <c r="C322" s="20"/>
      <c r="D322" s="20"/>
      <c r="E322" s="20"/>
      <c r="F322" s="20"/>
      <c r="G322" s="20"/>
      <c r="H322" s="11" t="str">
        <f aca="false">IF(B322="","",IFERROR(INDEX(Program!$H$2:$H$75,MATCH(B322,Program!$D$2:$D$75,0)),""))</f>
        <v/>
      </c>
      <c r="I322" s="11" t="str">
        <f aca="false">IF(B322="","",IFERROR(INDEX(Program!$I$2:$I$75,MATCH(B322,Program!$D$2:$D$75,0)),""))</f>
        <v/>
      </c>
      <c r="J322" s="11" t="str">
        <f aca="false">IF(COUNT(D322:G322)=0,"",COUNT(D322:G322))</f>
        <v/>
      </c>
      <c r="K322" s="12" t="str">
        <f aca="false">IF(OR(J322="",I322=""),"",IF(MIN(D322:G322)&gt;=I322,"Add load (smallest step)",IF(MAX(D322:G322)&lt;H322,"Below range: if again, drop 5–10%","Same load, add reps")))</f>
        <v/>
      </c>
      <c r="L322" s="20"/>
      <c r="M322" s="11" t="str">
        <f aca="false">IF(OR(L322="",C322="",H322="",C322=0),"",MAX(H322,ROUNDUP(30*((L322/C322)*(1+H322/30)-1),0)))</f>
        <v/>
      </c>
    </row>
    <row r="323" customFormat="false" ht="15" hidden="false" customHeight="false" outlineLevel="0" collapsed="false">
      <c r="A323" s="51"/>
      <c r="B323" s="54"/>
      <c r="C323" s="20"/>
      <c r="D323" s="20"/>
      <c r="E323" s="20"/>
      <c r="F323" s="20"/>
      <c r="G323" s="20"/>
      <c r="H323" s="11" t="str">
        <f aca="false">IF(B323="","",IFERROR(INDEX(Program!$H$2:$H$75,MATCH(B323,Program!$D$2:$D$75,0)),""))</f>
        <v/>
      </c>
      <c r="I323" s="11" t="str">
        <f aca="false">IF(B323="","",IFERROR(INDEX(Program!$I$2:$I$75,MATCH(B323,Program!$D$2:$D$75,0)),""))</f>
        <v/>
      </c>
      <c r="J323" s="11" t="str">
        <f aca="false">IF(COUNT(D323:G323)=0,"",COUNT(D323:G323))</f>
        <v/>
      </c>
      <c r="K323" s="12" t="str">
        <f aca="false">IF(OR(J323="",I323=""),"",IF(MIN(D323:G323)&gt;=I323,"Add load (smallest step)",IF(MAX(D323:G323)&lt;H323,"Below range: if again, drop 5–10%","Same load, add reps")))</f>
        <v/>
      </c>
      <c r="L323" s="20"/>
      <c r="M323" s="11" t="str">
        <f aca="false">IF(OR(L323="",C323="",H323="",C323=0),"",MAX(H323,ROUNDUP(30*((L323/C323)*(1+H323/30)-1),0)))</f>
        <v/>
      </c>
    </row>
    <row r="324" customFormat="false" ht="15" hidden="false" customHeight="false" outlineLevel="0" collapsed="false">
      <c r="A324" s="51"/>
      <c r="B324" s="54"/>
      <c r="C324" s="20"/>
      <c r="D324" s="20"/>
      <c r="E324" s="20"/>
      <c r="F324" s="20"/>
      <c r="G324" s="20"/>
      <c r="H324" s="11" t="str">
        <f aca="false">IF(B324="","",IFERROR(INDEX(Program!$H$2:$H$75,MATCH(B324,Program!$D$2:$D$75,0)),""))</f>
        <v/>
      </c>
      <c r="I324" s="11" t="str">
        <f aca="false">IF(B324="","",IFERROR(INDEX(Program!$I$2:$I$75,MATCH(B324,Program!$D$2:$D$75,0)),""))</f>
        <v/>
      </c>
      <c r="J324" s="11" t="str">
        <f aca="false">IF(COUNT(D324:G324)=0,"",COUNT(D324:G324))</f>
        <v/>
      </c>
      <c r="K324" s="12" t="str">
        <f aca="false">IF(OR(J324="",I324=""),"",IF(MIN(D324:G324)&gt;=I324,"Add load (smallest step)",IF(MAX(D324:G324)&lt;H324,"Below range: if again, drop 5–10%","Same load, add reps")))</f>
        <v/>
      </c>
      <c r="L324" s="20"/>
      <c r="M324" s="11" t="str">
        <f aca="false">IF(OR(L324="",C324="",H324="",C324=0),"",MAX(H324,ROUNDUP(30*((L324/C324)*(1+H324/30)-1),0)))</f>
        <v/>
      </c>
    </row>
    <row r="325" customFormat="false" ht="15" hidden="false" customHeight="false" outlineLevel="0" collapsed="false">
      <c r="A325" s="51"/>
      <c r="B325" s="54"/>
      <c r="C325" s="20"/>
      <c r="D325" s="20"/>
      <c r="E325" s="20"/>
      <c r="F325" s="20"/>
      <c r="G325" s="20"/>
      <c r="H325" s="11" t="str">
        <f aca="false">IF(B325="","",IFERROR(INDEX(Program!$H$2:$H$75,MATCH(B325,Program!$D$2:$D$75,0)),""))</f>
        <v/>
      </c>
      <c r="I325" s="11" t="str">
        <f aca="false">IF(B325="","",IFERROR(INDEX(Program!$I$2:$I$75,MATCH(B325,Program!$D$2:$D$75,0)),""))</f>
        <v/>
      </c>
      <c r="J325" s="11" t="str">
        <f aca="false">IF(COUNT(D325:G325)=0,"",COUNT(D325:G325))</f>
        <v/>
      </c>
      <c r="K325" s="12" t="str">
        <f aca="false">IF(OR(J325="",I325=""),"",IF(MIN(D325:G325)&gt;=I325,"Add load (smallest step)",IF(MAX(D325:G325)&lt;H325,"Below range: if again, drop 5–10%","Same load, add reps")))</f>
        <v/>
      </c>
      <c r="L325" s="20"/>
      <c r="M325" s="11" t="str">
        <f aca="false">IF(OR(L325="",C325="",H325="",C325=0),"",MAX(H325,ROUNDUP(30*((L325/C325)*(1+H325/30)-1),0)))</f>
        <v/>
      </c>
    </row>
    <row r="326" customFormat="false" ht="15" hidden="false" customHeight="false" outlineLevel="0" collapsed="false">
      <c r="A326" s="51"/>
      <c r="B326" s="54"/>
      <c r="C326" s="20"/>
      <c r="D326" s="20"/>
      <c r="E326" s="20"/>
      <c r="F326" s="20"/>
      <c r="G326" s="20"/>
      <c r="H326" s="11" t="str">
        <f aca="false">IF(B326="","",IFERROR(INDEX(Program!$H$2:$H$75,MATCH(B326,Program!$D$2:$D$75,0)),""))</f>
        <v/>
      </c>
      <c r="I326" s="11" t="str">
        <f aca="false">IF(B326="","",IFERROR(INDEX(Program!$I$2:$I$75,MATCH(B326,Program!$D$2:$D$75,0)),""))</f>
        <v/>
      </c>
      <c r="J326" s="11" t="str">
        <f aca="false">IF(COUNT(D326:G326)=0,"",COUNT(D326:G326))</f>
        <v/>
      </c>
      <c r="K326" s="12" t="str">
        <f aca="false">IF(OR(J326="",I326=""),"",IF(MIN(D326:G326)&gt;=I326,"Add load (smallest step)",IF(MAX(D326:G326)&lt;H326,"Below range: if again, drop 5–10%","Same load, add reps")))</f>
        <v/>
      </c>
      <c r="L326" s="20"/>
      <c r="M326" s="11" t="str">
        <f aca="false">IF(OR(L326="",C326="",H326="",C326=0),"",MAX(H326,ROUNDUP(30*((L326/C326)*(1+H326/30)-1),0)))</f>
        <v/>
      </c>
    </row>
    <row r="327" customFormat="false" ht="15" hidden="false" customHeight="false" outlineLevel="0" collapsed="false">
      <c r="A327" s="51"/>
      <c r="B327" s="54"/>
      <c r="C327" s="20"/>
      <c r="D327" s="20"/>
      <c r="E327" s="20"/>
      <c r="F327" s="20"/>
      <c r="G327" s="20"/>
      <c r="H327" s="11" t="str">
        <f aca="false">IF(B327="","",IFERROR(INDEX(Program!$H$2:$H$75,MATCH(B327,Program!$D$2:$D$75,0)),""))</f>
        <v/>
      </c>
      <c r="I327" s="11" t="str">
        <f aca="false">IF(B327="","",IFERROR(INDEX(Program!$I$2:$I$75,MATCH(B327,Program!$D$2:$D$75,0)),""))</f>
        <v/>
      </c>
      <c r="J327" s="11" t="str">
        <f aca="false">IF(COUNT(D327:G327)=0,"",COUNT(D327:G327))</f>
        <v/>
      </c>
      <c r="K327" s="12" t="str">
        <f aca="false">IF(OR(J327="",I327=""),"",IF(MIN(D327:G327)&gt;=I327,"Add load (smallest step)",IF(MAX(D327:G327)&lt;H327,"Below range: if again, drop 5–10%","Same load, add reps")))</f>
        <v/>
      </c>
      <c r="L327" s="20"/>
      <c r="M327" s="11" t="str">
        <f aca="false">IF(OR(L327="",C327="",H327="",C327=0),"",MAX(H327,ROUNDUP(30*((L327/C327)*(1+H327/30)-1),0)))</f>
        <v/>
      </c>
    </row>
    <row r="328" customFormat="false" ht="15" hidden="false" customHeight="false" outlineLevel="0" collapsed="false">
      <c r="A328" s="51"/>
      <c r="B328" s="54"/>
      <c r="C328" s="20"/>
      <c r="D328" s="20"/>
      <c r="E328" s="20"/>
      <c r="F328" s="20"/>
      <c r="G328" s="20"/>
      <c r="H328" s="11" t="str">
        <f aca="false">IF(B328="","",IFERROR(INDEX(Program!$H$2:$H$75,MATCH(B328,Program!$D$2:$D$75,0)),""))</f>
        <v/>
      </c>
      <c r="I328" s="11" t="str">
        <f aca="false">IF(B328="","",IFERROR(INDEX(Program!$I$2:$I$75,MATCH(B328,Program!$D$2:$D$75,0)),""))</f>
        <v/>
      </c>
      <c r="J328" s="11" t="str">
        <f aca="false">IF(COUNT(D328:G328)=0,"",COUNT(D328:G328))</f>
        <v/>
      </c>
      <c r="K328" s="12" t="str">
        <f aca="false">IF(OR(J328="",I328=""),"",IF(MIN(D328:G328)&gt;=I328,"Add load (smallest step)",IF(MAX(D328:G328)&lt;H328,"Below range: if again, drop 5–10%","Same load, add reps")))</f>
        <v/>
      </c>
      <c r="L328" s="20"/>
      <c r="M328" s="11" t="str">
        <f aca="false">IF(OR(L328="",C328="",H328="",C328=0),"",MAX(H328,ROUNDUP(30*((L328/C328)*(1+H328/30)-1),0)))</f>
        <v/>
      </c>
    </row>
    <row r="329" customFormat="false" ht="15" hidden="false" customHeight="false" outlineLevel="0" collapsed="false">
      <c r="A329" s="51"/>
      <c r="B329" s="54"/>
      <c r="C329" s="20"/>
      <c r="D329" s="20"/>
      <c r="E329" s="20"/>
      <c r="F329" s="20"/>
      <c r="G329" s="20"/>
      <c r="H329" s="11" t="str">
        <f aca="false">IF(B329="","",IFERROR(INDEX(Program!$H$2:$H$75,MATCH(B329,Program!$D$2:$D$75,0)),""))</f>
        <v/>
      </c>
      <c r="I329" s="11" t="str">
        <f aca="false">IF(B329="","",IFERROR(INDEX(Program!$I$2:$I$75,MATCH(B329,Program!$D$2:$D$75,0)),""))</f>
        <v/>
      </c>
      <c r="J329" s="11" t="str">
        <f aca="false">IF(COUNT(D329:G329)=0,"",COUNT(D329:G329))</f>
        <v/>
      </c>
      <c r="K329" s="12" t="str">
        <f aca="false">IF(OR(J329="",I329=""),"",IF(MIN(D329:G329)&gt;=I329,"Add load (smallest step)",IF(MAX(D329:G329)&lt;H329,"Below range: if again, drop 5–10%","Same load, add reps")))</f>
        <v/>
      </c>
      <c r="L329" s="20"/>
      <c r="M329" s="11" t="str">
        <f aca="false">IF(OR(L329="",C329="",H329="",C329=0),"",MAX(H329,ROUNDUP(30*((L329/C329)*(1+H329/30)-1),0)))</f>
        <v/>
      </c>
    </row>
    <row r="330" customFormat="false" ht="15" hidden="false" customHeight="false" outlineLevel="0" collapsed="false">
      <c r="A330" s="51"/>
      <c r="B330" s="54"/>
      <c r="C330" s="20"/>
      <c r="D330" s="20"/>
      <c r="E330" s="20"/>
      <c r="F330" s="20"/>
      <c r="G330" s="20"/>
      <c r="H330" s="11" t="str">
        <f aca="false">IF(B330="","",IFERROR(INDEX(Program!$H$2:$H$75,MATCH(B330,Program!$D$2:$D$75,0)),""))</f>
        <v/>
      </c>
      <c r="I330" s="11" t="str">
        <f aca="false">IF(B330="","",IFERROR(INDEX(Program!$I$2:$I$75,MATCH(B330,Program!$D$2:$D$75,0)),""))</f>
        <v/>
      </c>
      <c r="J330" s="11" t="str">
        <f aca="false">IF(COUNT(D330:G330)=0,"",COUNT(D330:G330))</f>
        <v/>
      </c>
      <c r="K330" s="12" t="str">
        <f aca="false">IF(OR(J330="",I330=""),"",IF(MIN(D330:G330)&gt;=I330,"Add load (smallest step)",IF(MAX(D330:G330)&lt;H330,"Below range: if again, drop 5–10%","Same load, add reps")))</f>
        <v/>
      </c>
      <c r="L330" s="20"/>
      <c r="M330" s="11" t="str">
        <f aca="false">IF(OR(L330="",C330="",H330="",C330=0),"",MAX(H330,ROUNDUP(30*((L330/C330)*(1+H330/30)-1),0)))</f>
        <v/>
      </c>
    </row>
    <row r="331" customFormat="false" ht="15" hidden="false" customHeight="false" outlineLevel="0" collapsed="false">
      <c r="A331" s="51"/>
      <c r="B331" s="54"/>
      <c r="C331" s="20"/>
      <c r="D331" s="20"/>
      <c r="E331" s="20"/>
      <c r="F331" s="20"/>
      <c r="G331" s="20"/>
      <c r="H331" s="11" t="str">
        <f aca="false">IF(B331="","",IFERROR(INDEX(Program!$H$2:$H$75,MATCH(B331,Program!$D$2:$D$75,0)),""))</f>
        <v/>
      </c>
      <c r="I331" s="11" t="str">
        <f aca="false">IF(B331="","",IFERROR(INDEX(Program!$I$2:$I$75,MATCH(B331,Program!$D$2:$D$75,0)),""))</f>
        <v/>
      </c>
      <c r="J331" s="11" t="str">
        <f aca="false">IF(COUNT(D331:G331)=0,"",COUNT(D331:G331))</f>
        <v/>
      </c>
      <c r="K331" s="12" t="str">
        <f aca="false">IF(OR(J331="",I331=""),"",IF(MIN(D331:G331)&gt;=I331,"Add load (smallest step)",IF(MAX(D331:G331)&lt;H331,"Below range: if again, drop 5–10%","Same load, add reps")))</f>
        <v/>
      </c>
      <c r="L331" s="20"/>
      <c r="M331" s="11" t="str">
        <f aca="false">IF(OR(L331="",C331="",H331="",C331=0),"",MAX(H331,ROUNDUP(30*((L331/C331)*(1+H331/30)-1),0)))</f>
        <v/>
      </c>
    </row>
    <row r="332" customFormat="false" ht="15" hidden="false" customHeight="false" outlineLevel="0" collapsed="false">
      <c r="A332" s="51"/>
      <c r="B332" s="54"/>
      <c r="C332" s="20"/>
      <c r="D332" s="20"/>
      <c r="E332" s="20"/>
      <c r="F332" s="20"/>
      <c r="G332" s="20"/>
      <c r="H332" s="11" t="str">
        <f aca="false">IF(B332="","",IFERROR(INDEX(Program!$H$2:$H$75,MATCH(B332,Program!$D$2:$D$75,0)),""))</f>
        <v/>
      </c>
      <c r="I332" s="11" t="str">
        <f aca="false">IF(B332="","",IFERROR(INDEX(Program!$I$2:$I$75,MATCH(B332,Program!$D$2:$D$75,0)),""))</f>
        <v/>
      </c>
      <c r="J332" s="11" t="str">
        <f aca="false">IF(COUNT(D332:G332)=0,"",COUNT(D332:G332))</f>
        <v/>
      </c>
      <c r="K332" s="12" t="str">
        <f aca="false">IF(OR(J332="",I332=""),"",IF(MIN(D332:G332)&gt;=I332,"Add load (smallest step)",IF(MAX(D332:G332)&lt;H332,"Below range: if again, drop 5–10%","Same load, add reps")))</f>
        <v/>
      </c>
      <c r="L332" s="20"/>
      <c r="M332" s="11" t="str">
        <f aca="false">IF(OR(L332="",C332="",H332="",C332=0),"",MAX(H332,ROUNDUP(30*((L332/C332)*(1+H332/30)-1),0)))</f>
        <v/>
      </c>
    </row>
    <row r="333" customFormat="false" ht="15" hidden="false" customHeight="false" outlineLevel="0" collapsed="false">
      <c r="A333" s="51"/>
      <c r="B333" s="54"/>
      <c r="C333" s="20"/>
      <c r="D333" s="20"/>
      <c r="E333" s="20"/>
      <c r="F333" s="20"/>
      <c r="G333" s="20"/>
      <c r="H333" s="11" t="str">
        <f aca="false">IF(B333="","",IFERROR(INDEX(Program!$H$2:$H$75,MATCH(B333,Program!$D$2:$D$75,0)),""))</f>
        <v/>
      </c>
      <c r="I333" s="11" t="str">
        <f aca="false">IF(B333="","",IFERROR(INDEX(Program!$I$2:$I$75,MATCH(B333,Program!$D$2:$D$75,0)),""))</f>
        <v/>
      </c>
      <c r="J333" s="11" t="str">
        <f aca="false">IF(COUNT(D333:G333)=0,"",COUNT(D333:G333))</f>
        <v/>
      </c>
      <c r="K333" s="12" t="str">
        <f aca="false">IF(OR(J333="",I333=""),"",IF(MIN(D333:G333)&gt;=I333,"Add load (smallest step)",IF(MAX(D333:G333)&lt;H333,"Below range: if again, drop 5–10%","Same load, add reps")))</f>
        <v/>
      </c>
      <c r="L333" s="20"/>
      <c r="M333" s="11" t="str">
        <f aca="false">IF(OR(L333="",C333="",H333="",C333=0),"",MAX(H333,ROUNDUP(30*((L333/C333)*(1+H333/30)-1),0)))</f>
        <v/>
      </c>
    </row>
    <row r="334" customFormat="false" ht="15" hidden="false" customHeight="false" outlineLevel="0" collapsed="false">
      <c r="A334" s="51"/>
      <c r="B334" s="54"/>
      <c r="C334" s="20"/>
      <c r="D334" s="20"/>
      <c r="E334" s="20"/>
      <c r="F334" s="20"/>
      <c r="G334" s="20"/>
      <c r="H334" s="11" t="str">
        <f aca="false">IF(B334="","",IFERROR(INDEX(Program!$H$2:$H$75,MATCH(B334,Program!$D$2:$D$75,0)),""))</f>
        <v/>
      </c>
      <c r="I334" s="11" t="str">
        <f aca="false">IF(B334="","",IFERROR(INDEX(Program!$I$2:$I$75,MATCH(B334,Program!$D$2:$D$75,0)),""))</f>
        <v/>
      </c>
      <c r="J334" s="11" t="str">
        <f aca="false">IF(COUNT(D334:G334)=0,"",COUNT(D334:G334))</f>
        <v/>
      </c>
      <c r="K334" s="12" t="str">
        <f aca="false">IF(OR(J334="",I334=""),"",IF(MIN(D334:G334)&gt;=I334,"Add load (smallest step)",IF(MAX(D334:G334)&lt;H334,"Below range: if again, drop 5–10%","Same load, add reps")))</f>
        <v/>
      </c>
      <c r="L334" s="20"/>
      <c r="M334" s="11" t="str">
        <f aca="false">IF(OR(L334="",C334="",H334="",C334=0),"",MAX(H334,ROUNDUP(30*((L334/C334)*(1+H334/30)-1),0)))</f>
        <v/>
      </c>
    </row>
    <row r="335" customFormat="false" ht="15" hidden="false" customHeight="false" outlineLevel="0" collapsed="false">
      <c r="A335" s="51"/>
      <c r="B335" s="54"/>
      <c r="C335" s="20"/>
      <c r="D335" s="20"/>
      <c r="E335" s="20"/>
      <c r="F335" s="20"/>
      <c r="G335" s="20"/>
      <c r="H335" s="11" t="str">
        <f aca="false">IF(B335="","",IFERROR(INDEX(Program!$H$2:$H$75,MATCH(B335,Program!$D$2:$D$75,0)),""))</f>
        <v/>
      </c>
      <c r="I335" s="11" t="str">
        <f aca="false">IF(B335="","",IFERROR(INDEX(Program!$I$2:$I$75,MATCH(B335,Program!$D$2:$D$75,0)),""))</f>
        <v/>
      </c>
      <c r="J335" s="11" t="str">
        <f aca="false">IF(COUNT(D335:G335)=0,"",COUNT(D335:G335))</f>
        <v/>
      </c>
      <c r="K335" s="12" t="str">
        <f aca="false">IF(OR(J335="",I335=""),"",IF(MIN(D335:G335)&gt;=I335,"Add load (smallest step)",IF(MAX(D335:G335)&lt;H335,"Below range: if again, drop 5–10%","Same load, add reps")))</f>
        <v/>
      </c>
      <c r="L335" s="20"/>
      <c r="M335" s="11" t="str">
        <f aca="false">IF(OR(L335="",C335="",H335="",C335=0),"",MAX(H335,ROUNDUP(30*((L335/C335)*(1+H335/30)-1),0)))</f>
        <v/>
      </c>
    </row>
    <row r="336" customFormat="false" ht="15" hidden="false" customHeight="false" outlineLevel="0" collapsed="false">
      <c r="A336" s="51"/>
      <c r="B336" s="54"/>
      <c r="C336" s="20"/>
      <c r="D336" s="20"/>
      <c r="E336" s="20"/>
      <c r="F336" s="20"/>
      <c r="G336" s="20"/>
      <c r="H336" s="11" t="str">
        <f aca="false">IF(B336="","",IFERROR(INDEX(Program!$H$2:$H$75,MATCH(B336,Program!$D$2:$D$75,0)),""))</f>
        <v/>
      </c>
      <c r="I336" s="11" t="str">
        <f aca="false">IF(B336="","",IFERROR(INDEX(Program!$I$2:$I$75,MATCH(B336,Program!$D$2:$D$75,0)),""))</f>
        <v/>
      </c>
      <c r="J336" s="11" t="str">
        <f aca="false">IF(COUNT(D336:G336)=0,"",COUNT(D336:G336))</f>
        <v/>
      </c>
      <c r="K336" s="12" t="str">
        <f aca="false">IF(OR(J336="",I336=""),"",IF(MIN(D336:G336)&gt;=I336,"Add load (smallest step)",IF(MAX(D336:G336)&lt;H336,"Below range: if again, drop 5–10%","Same load, add reps")))</f>
        <v/>
      </c>
      <c r="L336" s="20"/>
      <c r="M336" s="11" t="str">
        <f aca="false">IF(OR(L336="",C336="",H336="",C336=0),"",MAX(H336,ROUNDUP(30*((L336/C336)*(1+H336/30)-1),0)))</f>
        <v/>
      </c>
    </row>
    <row r="337" customFormat="false" ht="15" hidden="false" customHeight="false" outlineLevel="0" collapsed="false">
      <c r="A337" s="51"/>
      <c r="B337" s="54"/>
      <c r="C337" s="20"/>
      <c r="D337" s="20"/>
      <c r="E337" s="20"/>
      <c r="F337" s="20"/>
      <c r="G337" s="20"/>
      <c r="H337" s="11" t="str">
        <f aca="false">IF(B337="","",IFERROR(INDEX(Program!$H$2:$H$75,MATCH(B337,Program!$D$2:$D$75,0)),""))</f>
        <v/>
      </c>
      <c r="I337" s="11" t="str">
        <f aca="false">IF(B337="","",IFERROR(INDEX(Program!$I$2:$I$75,MATCH(B337,Program!$D$2:$D$75,0)),""))</f>
        <v/>
      </c>
      <c r="J337" s="11" t="str">
        <f aca="false">IF(COUNT(D337:G337)=0,"",COUNT(D337:G337))</f>
        <v/>
      </c>
      <c r="K337" s="12" t="str">
        <f aca="false">IF(OR(J337="",I337=""),"",IF(MIN(D337:G337)&gt;=I337,"Add load (smallest step)",IF(MAX(D337:G337)&lt;H337,"Below range: if again, drop 5–10%","Same load, add reps")))</f>
        <v/>
      </c>
      <c r="L337" s="20"/>
      <c r="M337" s="11" t="str">
        <f aca="false">IF(OR(L337="",C337="",H337="",C337=0),"",MAX(H337,ROUNDUP(30*((L337/C337)*(1+H337/30)-1),0)))</f>
        <v/>
      </c>
    </row>
    <row r="338" customFormat="false" ht="15" hidden="false" customHeight="false" outlineLevel="0" collapsed="false">
      <c r="A338" s="51"/>
      <c r="B338" s="54"/>
      <c r="C338" s="20"/>
      <c r="D338" s="20"/>
      <c r="E338" s="20"/>
      <c r="F338" s="20"/>
      <c r="G338" s="20"/>
      <c r="H338" s="11" t="str">
        <f aca="false">IF(B338="","",IFERROR(INDEX(Program!$H$2:$H$75,MATCH(B338,Program!$D$2:$D$75,0)),""))</f>
        <v/>
      </c>
      <c r="I338" s="11" t="str">
        <f aca="false">IF(B338="","",IFERROR(INDEX(Program!$I$2:$I$75,MATCH(B338,Program!$D$2:$D$75,0)),""))</f>
        <v/>
      </c>
      <c r="J338" s="11" t="str">
        <f aca="false">IF(COUNT(D338:G338)=0,"",COUNT(D338:G338))</f>
        <v/>
      </c>
      <c r="K338" s="12" t="str">
        <f aca="false">IF(OR(J338="",I338=""),"",IF(MIN(D338:G338)&gt;=I338,"Add load (smallest step)",IF(MAX(D338:G338)&lt;H338,"Below range: if again, drop 5–10%","Same load, add reps")))</f>
        <v/>
      </c>
      <c r="L338" s="20"/>
      <c r="M338" s="11" t="str">
        <f aca="false">IF(OR(L338="",C338="",H338="",C338=0),"",MAX(H338,ROUNDUP(30*((L338/C338)*(1+H338/30)-1),0)))</f>
        <v/>
      </c>
    </row>
    <row r="339" customFormat="false" ht="15" hidden="false" customHeight="false" outlineLevel="0" collapsed="false">
      <c r="A339" s="51"/>
      <c r="B339" s="54"/>
      <c r="C339" s="20"/>
      <c r="D339" s="20"/>
      <c r="E339" s="20"/>
      <c r="F339" s="20"/>
      <c r="G339" s="20"/>
      <c r="H339" s="11" t="str">
        <f aca="false">IF(B339="","",IFERROR(INDEX(Program!$H$2:$H$75,MATCH(B339,Program!$D$2:$D$75,0)),""))</f>
        <v/>
      </c>
      <c r="I339" s="11" t="str">
        <f aca="false">IF(B339="","",IFERROR(INDEX(Program!$I$2:$I$75,MATCH(B339,Program!$D$2:$D$75,0)),""))</f>
        <v/>
      </c>
      <c r="J339" s="11" t="str">
        <f aca="false">IF(COUNT(D339:G339)=0,"",COUNT(D339:G339))</f>
        <v/>
      </c>
      <c r="K339" s="12" t="str">
        <f aca="false">IF(OR(J339="",I339=""),"",IF(MIN(D339:G339)&gt;=I339,"Add load (smallest step)",IF(MAX(D339:G339)&lt;H339,"Below range: if again, drop 5–10%","Same load, add reps")))</f>
        <v/>
      </c>
      <c r="L339" s="20"/>
      <c r="M339" s="11" t="str">
        <f aca="false">IF(OR(L339="",C339="",H339="",C339=0),"",MAX(H339,ROUNDUP(30*((L339/C339)*(1+H339/30)-1),0)))</f>
        <v/>
      </c>
    </row>
    <row r="340" customFormat="false" ht="15" hidden="false" customHeight="false" outlineLevel="0" collapsed="false">
      <c r="A340" s="51"/>
      <c r="B340" s="54"/>
      <c r="C340" s="20"/>
      <c r="D340" s="20"/>
      <c r="E340" s="20"/>
      <c r="F340" s="20"/>
      <c r="G340" s="20"/>
      <c r="H340" s="11" t="str">
        <f aca="false">IF(B340="","",IFERROR(INDEX(Program!$H$2:$H$75,MATCH(B340,Program!$D$2:$D$75,0)),""))</f>
        <v/>
      </c>
      <c r="I340" s="11" t="str">
        <f aca="false">IF(B340="","",IFERROR(INDEX(Program!$I$2:$I$75,MATCH(B340,Program!$D$2:$D$75,0)),""))</f>
        <v/>
      </c>
      <c r="J340" s="11" t="str">
        <f aca="false">IF(COUNT(D340:G340)=0,"",COUNT(D340:G340))</f>
        <v/>
      </c>
      <c r="K340" s="12" t="str">
        <f aca="false">IF(OR(J340="",I340=""),"",IF(MIN(D340:G340)&gt;=I340,"Add load (smallest step)",IF(MAX(D340:G340)&lt;H340,"Below range: if again, drop 5–10%","Same load, add reps")))</f>
        <v/>
      </c>
      <c r="L340" s="20"/>
      <c r="M340" s="11" t="str">
        <f aca="false">IF(OR(L340="",C340="",H340="",C340=0),"",MAX(H340,ROUNDUP(30*((L340/C340)*(1+H340/30)-1),0)))</f>
        <v/>
      </c>
    </row>
    <row r="341" customFormat="false" ht="15" hidden="false" customHeight="false" outlineLevel="0" collapsed="false">
      <c r="A341" s="51"/>
      <c r="B341" s="54"/>
      <c r="C341" s="20"/>
      <c r="D341" s="20"/>
      <c r="E341" s="20"/>
      <c r="F341" s="20"/>
      <c r="G341" s="20"/>
      <c r="H341" s="11" t="str">
        <f aca="false">IF(B341="","",IFERROR(INDEX(Program!$H$2:$H$75,MATCH(B341,Program!$D$2:$D$75,0)),""))</f>
        <v/>
      </c>
      <c r="I341" s="11" t="str">
        <f aca="false">IF(B341="","",IFERROR(INDEX(Program!$I$2:$I$75,MATCH(B341,Program!$D$2:$D$75,0)),""))</f>
        <v/>
      </c>
      <c r="J341" s="11" t="str">
        <f aca="false">IF(COUNT(D341:G341)=0,"",COUNT(D341:G341))</f>
        <v/>
      </c>
      <c r="K341" s="12" t="str">
        <f aca="false">IF(OR(J341="",I341=""),"",IF(MIN(D341:G341)&gt;=I341,"Add load (smallest step)",IF(MAX(D341:G341)&lt;H341,"Below range: if again, drop 5–10%","Same load, add reps")))</f>
        <v/>
      </c>
      <c r="L341" s="20"/>
      <c r="M341" s="11" t="str">
        <f aca="false">IF(OR(L341="",C341="",H341="",C341=0),"",MAX(H341,ROUNDUP(30*((L341/C341)*(1+H341/30)-1),0)))</f>
        <v/>
      </c>
    </row>
    <row r="342" customFormat="false" ht="15" hidden="false" customHeight="false" outlineLevel="0" collapsed="false">
      <c r="A342" s="51"/>
      <c r="B342" s="54"/>
      <c r="C342" s="20"/>
      <c r="D342" s="20"/>
      <c r="E342" s="20"/>
      <c r="F342" s="20"/>
      <c r="G342" s="20"/>
      <c r="H342" s="11" t="str">
        <f aca="false">IF(B342="","",IFERROR(INDEX(Program!$H$2:$H$75,MATCH(B342,Program!$D$2:$D$75,0)),""))</f>
        <v/>
      </c>
      <c r="I342" s="11" t="str">
        <f aca="false">IF(B342="","",IFERROR(INDEX(Program!$I$2:$I$75,MATCH(B342,Program!$D$2:$D$75,0)),""))</f>
        <v/>
      </c>
      <c r="J342" s="11" t="str">
        <f aca="false">IF(COUNT(D342:G342)=0,"",COUNT(D342:G342))</f>
        <v/>
      </c>
      <c r="K342" s="12" t="str">
        <f aca="false">IF(OR(J342="",I342=""),"",IF(MIN(D342:G342)&gt;=I342,"Add load (smallest step)",IF(MAX(D342:G342)&lt;H342,"Below range: if again, drop 5–10%","Same load, add reps")))</f>
        <v/>
      </c>
      <c r="L342" s="20"/>
      <c r="M342" s="11" t="str">
        <f aca="false">IF(OR(L342="",C342="",H342="",C342=0),"",MAX(H342,ROUNDUP(30*((L342/C342)*(1+H342/30)-1),0)))</f>
        <v/>
      </c>
    </row>
    <row r="343" customFormat="false" ht="15" hidden="false" customHeight="false" outlineLevel="0" collapsed="false">
      <c r="A343" s="51"/>
      <c r="B343" s="54"/>
      <c r="C343" s="20"/>
      <c r="D343" s="20"/>
      <c r="E343" s="20"/>
      <c r="F343" s="20"/>
      <c r="G343" s="20"/>
      <c r="H343" s="11" t="str">
        <f aca="false">IF(B343="","",IFERROR(INDEX(Program!$H$2:$H$75,MATCH(B343,Program!$D$2:$D$75,0)),""))</f>
        <v/>
      </c>
      <c r="I343" s="11" t="str">
        <f aca="false">IF(B343="","",IFERROR(INDEX(Program!$I$2:$I$75,MATCH(B343,Program!$D$2:$D$75,0)),""))</f>
        <v/>
      </c>
      <c r="J343" s="11" t="str">
        <f aca="false">IF(COUNT(D343:G343)=0,"",COUNT(D343:G343))</f>
        <v/>
      </c>
      <c r="K343" s="12" t="str">
        <f aca="false">IF(OR(J343="",I343=""),"",IF(MIN(D343:G343)&gt;=I343,"Add load (smallest step)",IF(MAX(D343:G343)&lt;H343,"Below range: if again, drop 5–10%","Same load, add reps")))</f>
        <v/>
      </c>
      <c r="L343" s="20"/>
      <c r="M343" s="11" t="str">
        <f aca="false">IF(OR(L343="",C343="",H343="",C343=0),"",MAX(H343,ROUNDUP(30*((L343/C343)*(1+H343/30)-1),0)))</f>
        <v/>
      </c>
    </row>
    <row r="344" customFormat="false" ht="15" hidden="false" customHeight="false" outlineLevel="0" collapsed="false">
      <c r="A344" s="51"/>
      <c r="B344" s="54"/>
      <c r="C344" s="20"/>
      <c r="D344" s="20"/>
      <c r="E344" s="20"/>
      <c r="F344" s="20"/>
      <c r="G344" s="20"/>
      <c r="H344" s="11" t="str">
        <f aca="false">IF(B344="","",IFERROR(INDEX(Program!$H$2:$H$75,MATCH(B344,Program!$D$2:$D$75,0)),""))</f>
        <v/>
      </c>
      <c r="I344" s="11" t="str">
        <f aca="false">IF(B344="","",IFERROR(INDEX(Program!$I$2:$I$75,MATCH(B344,Program!$D$2:$D$75,0)),""))</f>
        <v/>
      </c>
      <c r="J344" s="11" t="str">
        <f aca="false">IF(COUNT(D344:G344)=0,"",COUNT(D344:G344))</f>
        <v/>
      </c>
      <c r="K344" s="12" t="str">
        <f aca="false">IF(OR(J344="",I344=""),"",IF(MIN(D344:G344)&gt;=I344,"Add load (smallest step)",IF(MAX(D344:G344)&lt;H344,"Below range: if again, drop 5–10%","Same load, add reps")))</f>
        <v/>
      </c>
      <c r="L344" s="20"/>
      <c r="M344" s="11" t="str">
        <f aca="false">IF(OR(L344="",C344="",H344="",C344=0),"",MAX(H344,ROUNDUP(30*((L344/C344)*(1+H344/30)-1),0)))</f>
        <v/>
      </c>
    </row>
    <row r="345" customFormat="false" ht="15" hidden="false" customHeight="false" outlineLevel="0" collapsed="false">
      <c r="A345" s="51"/>
      <c r="B345" s="54"/>
      <c r="C345" s="20"/>
      <c r="D345" s="20"/>
      <c r="E345" s="20"/>
      <c r="F345" s="20"/>
      <c r="G345" s="20"/>
      <c r="H345" s="11" t="str">
        <f aca="false">IF(B345="","",IFERROR(INDEX(Program!$H$2:$H$75,MATCH(B345,Program!$D$2:$D$75,0)),""))</f>
        <v/>
      </c>
      <c r="I345" s="11" t="str">
        <f aca="false">IF(B345="","",IFERROR(INDEX(Program!$I$2:$I$75,MATCH(B345,Program!$D$2:$D$75,0)),""))</f>
        <v/>
      </c>
      <c r="J345" s="11" t="str">
        <f aca="false">IF(COUNT(D345:G345)=0,"",COUNT(D345:G345))</f>
        <v/>
      </c>
      <c r="K345" s="12" t="str">
        <f aca="false">IF(OR(J345="",I345=""),"",IF(MIN(D345:G345)&gt;=I345,"Add load (smallest step)",IF(MAX(D345:G345)&lt;H345,"Below range: if again, drop 5–10%","Same load, add reps")))</f>
        <v/>
      </c>
      <c r="L345" s="20"/>
      <c r="M345" s="11" t="str">
        <f aca="false">IF(OR(L345="",C345="",H345="",C345=0),"",MAX(H345,ROUNDUP(30*((L345/C345)*(1+H345/30)-1),0)))</f>
        <v/>
      </c>
    </row>
    <row r="346" customFormat="false" ht="15" hidden="false" customHeight="false" outlineLevel="0" collapsed="false">
      <c r="A346" s="51"/>
      <c r="B346" s="54"/>
      <c r="C346" s="20"/>
      <c r="D346" s="20"/>
      <c r="E346" s="20"/>
      <c r="F346" s="20"/>
      <c r="G346" s="20"/>
      <c r="H346" s="11" t="str">
        <f aca="false">IF(B346="","",IFERROR(INDEX(Program!$H$2:$H$75,MATCH(B346,Program!$D$2:$D$75,0)),""))</f>
        <v/>
      </c>
      <c r="I346" s="11" t="str">
        <f aca="false">IF(B346="","",IFERROR(INDEX(Program!$I$2:$I$75,MATCH(B346,Program!$D$2:$D$75,0)),""))</f>
        <v/>
      </c>
      <c r="J346" s="11" t="str">
        <f aca="false">IF(COUNT(D346:G346)=0,"",COUNT(D346:G346))</f>
        <v/>
      </c>
      <c r="K346" s="12" t="str">
        <f aca="false">IF(OR(J346="",I346=""),"",IF(MIN(D346:G346)&gt;=I346,"Add load (smallest step)",IF(MAX(D346:G346)&lt;H346,"Below range: if again, drop 5–10%","Same load, add reps")))</f>
        <v/>
      </c>
      <c r="L346" s="20"/>
      <c r="M346" s="11" t="str">
        <f aca="false">IF(OR(L346="",C346="",H346="",C346=0),"",MAX(H346,ROUNDUP(30*((L346/C346)*(1+H346/30)-1),0)))</f>
        <v/>
      </c>
    </row>
    <row r="347" customFormat="false" ht="15" hidden="false" customHeight="false" outlineLevel="0" collapsed="false">
      <c r="A347" s="51"/>
      <c r="B347" s="54"/>
      <c r="C347" s="20"/>
      <c r="D347" s="20"/>
      <c r="E347" s="20"/>
      <c r="F347" s="20"/>
      <c r="G347" s="20"/>
      <c r="H347" s="11" t="str">
        <f aca="false">IF(B347="","",IFERROR(INDEX(Program!$H$2:$H$75,MATCH(B347,Program!$D$2:$D$75,0)),""))</f>
        <v/>
      </c>
      <c r="I347" s="11" t="str">
        <f aca="false">IF(B347="","",IFERROR(INDEX(Program!$I$2:$I$75,MATCH(B347,Program!$D$2:$D$75,0)),""))</f>
        <v/>
      </c>
      <c r="J347" s="11" t="str">
        <f aca="false">IF(COUNT(D347:G347)=0,"",COUNT(D347:G347))</f>
        <v/>
      </c>
      <c r="K347" s="12" t="str">
        <f aca="false">IF(OR(J347="",I347=""),"",IF(MIN(D347:G347)&gt;=I347,"Add load (smallest step)",IF(MAX(D347:G347)&lt;H347,"Below range: if again, drop 5–10%","Same load, add reps")))</f>
        <v/>
      </c>
      <c r="L347" s="20"/>
      <c r="M347" s="11" t="str">
        <f aca="false">IF(OR(L347="",C347="",H347="",C347=0),"",MAX(H347,ROUNDUP(30*((L347/C347)*(1+H347/30)-1),0)))</f>
        <v/>
      </c>
    </row>
    <row r="348" customFormat="false" ht="15" hidden="false" customHeight="false" outlineLevel="0" collapsed="false">
      <c r="A348" s="51"/>
      <c r="B348" s="54"/>
      <c r="C348" s="20"/>
      <c r="D348" s="20"/>
      <c r="E348" s="20"/>
      <c r="F348" s="20"/>
      <c r="G348" s="20"/>
      <c r="H348" s="11" t="str">
        <f aca="false">IF(B348="","",IFERROR(INDEX(Program!$H$2:$H$75,MATCH(B348,Program!$D$2:$D$75,0)),""))</f>
        <v/>
      </c>
      <c r="I348" s="11" t="str">
        <f aca="false">IF(B348="","",IFERROR(INDEX(Program!$I$2:$I$75,MATCH(B348,Program!$D$2:$D$75,0)),""))</f>
        <v/>
      </c>
      <c r="J348" s="11" t="str">
        <f aca="false">IF(COUNT(D348:G348)=0,"",COUNT(D348:G348))</f>
        <v/>
      </c>
      <c r="K348" s="12" t="str">
        <f aca="false">IF(OR(J348="",I348=""),"",IF(MIN(D348:G348)&gt;=I348,"Add load (smallest step)",IF(MAX(D348:G348)&lt;H348,"Below range: if again, drop 5–10%","Same load, add reps")))</f>
        <v/>
      </c>
      <c r="L348" s="20"/>
      <c r="M348" s="11" t="str">
        <f aca="false">IF(OR(L348="",C348="",H348="",C348=0),"",MAX(H348,ROUNDUP(30*((L348/C348)*(1+H348/30)-1),0)))</f>
        <v/>
      </c>
    </row>
    <row r="349" customFormat="false" ht="15" hidden="false" customHeight="false" outlineLevel="0" collapsed="false">
      <c r="A349" s="51"/>
      <c r="B349" s="54"/>
      <c r="C349" s="20"/>
      <c r="D349" s="20"/>
      <c r="E349" s="20"/>
      <c r="F349" s="20"/>
      <c r="G349" s="20"/>
      <c r="H349" s="11" t="str">
        <f aca="false">IF(B349="","",IFERROR(INDEX(Program!$H$2:$H$75,MATCH(B349,Program!$D$2:$D$75,0)),""))</f>
        <v/>
      </c>
      <c r="I349" s="11" t="str">
        <f aca="false">IF(B349="","",IFERROR(INDEX(Program!$I$2:$I$75,MATCH(B349,Program!$D$2:$D$75,0)),""))</f>
        <v/>
      </c>
      <c r="J349" s="11" t="str">
        <f aca="false">IF(COUNT(D349:G349)=0,"",COUNT(D349:G349))</f>
        <v/>
      </c>
      <c r="K349" s="12" t="str">
        <f aca="false">IF(OR(J349="",I349=""),"",IF(MIN(D349:G349)&gt;=I349,"Add load (smallest step)",IF(MAX(D349:G349)&lt;H349,"Below range: if again, drop 5–10%","Same load, add reps")))</f>
        <v/>
      </c>
      <c r="L349" s="20"/>
      <c r="M349" s="11" t="str">
        <f aca="false">IF(OR(L349="",C349="",H349="",C349=0),"",MAX(H349,ROUNDUP(30*((L349/C349)*(1+H349/30)-1),0)))</f>
        <v/>
      </c>
    </row>
    <row r="350" customFormat="false" ht="15" hidden="false" customHeight="false" outlineLevel="0" collapsed="false">
      <c r="A350" s="51"/>
      <c r="B350" s="54"/>
      <c r="C350" s="20"/>
      <c r="D350" s="20"/>
      <c r="E350" s="20"/>
      <c r="F350" s="20"/>
      <c r="G350" s="20"/>
      <c r="H350" s="11" t="str">
        <f aca="false">IF(B350="","",IFERROR(INDEX(Program!$H$2:$H$75,MATCH(B350,Program!$D$2:$D$75,0)),""))</f>
        <v/>
      </c>
      <c r="I350" s="11" t="str">
        <f aca="false">IF(B350="","",IFERROR(INDEX(Program!$I$2:$I$75,MATCH(B350,Program!$D$2:$D$75,0)),""))</f>
        <v/>
      </c>
      <c r="J350" s="11" t="str">
        <f aca="false">IF(COUNT(D350:G350)=0,"",COUNT(D350:G350))</f>
        <v/>
      </c>
      <c r="K350" s="12" t="str">
        <f aca="false">IF(OR(J350="",I350=""),"",IF(MIN(D350:G350)&gt;=I350,"Add load (smallest step)",IF(MAX(D350:G350)&lt;H350,"Below range: if again, drop 5–10%","Same load, add reps")))</f>
        <v/>
      </c>
      <c r="L350" s="20"/>
      <c r="M350" s="11" t="str">
        <f aca="false">IF(OR(L350="",C350="",H350="",C350=0),"",MAX(H350,ROUNDUP(30*((L350/C350)*(1+H350/30)-1),0)))</f>
        <v/>
      </c>
    </row>
    <row r="351" customFormat="false" ht="15" hidden="false" customHeight="false" outlineLevel="0" collapsed="false">
      <c r="A351" s="51"/>
      <c r="B351" s="54"/>
      <c r="C351" s="20"/>
      <c r="D351" s="20"/>
      <c r="E351" s="20"/>
      <c r="F351" s="20"/>
      <c r="G351" s="20"/>
      <c r="H351" s="11" t="str">
        <f aca="false">IF(B351="","",IFERROR(INDEX(Program!$H$2:$H$75,MATCH(B351,Program!$D$2:$D$75,0)),""))</f>
        <v/>
      </c>
      <c r="I351" s="11" t="str">
        <f aca="false">IF(B351="","",IFERROR(INDEX(Program!$I$2:$I$75,MATCH(B351,Program!$D$2:$D$75,0)),""))</f>
        <v/>
      </c>
      <c r="J351" s="11" t="str">
        <f aca="false">IF(COUNT(D351:G351)=0,"",COUNT(D351:G351))</f>
        <v/>
      </c>
      <c r="K351" s="12" t="str">
        <f aca="false">IF(OR(J351="",I351=""),"",IF(MIN(D351:G351)&gt;=I351,"Add load (smallest step)",IF(MAX(D351:G351)&lt;H351,"Below range: if again, drop 5–10%","Same load, add reps")))</f>
        <v/>
      </c>
      <c r="L351" s="20"/>
      <c r="M351" s="11" t="str">
        <f aca="false">IF(OR(L351="",C351="",H351="",C351=0),"",MAX(H351,ROUNDUP(30*((L351/C351)*(1+H351/30)-1),0)))</f>
        <v/>
      </c>
    </row>
    <row r="352" customFormat="false" ht="15" hidden="false" customHeight="false" outlineLevel="0" collapsed="false">
      <c r="A352" s="51"/>
      <c r="B352" s="54"/>
      <c r="C352" s="20"/>
      <c r="D352" s="20"/>
      <c r="E352" s="20"/>
      <c r="F352" s="20"/>
      <c r="G352" s="20"/>
      <c r="H352" s="11" t="str">
        <f aca="false">IF(B352="","",IFERROR(INDEX(Program!$H$2:$H$75,MATCH(B352,Program!$D$2:$D$75,0)),""))</f>
        <v/>
      </c>
      <c r="I352" s="11" t="str">
        <f aca="false">IF(B352="","",IFERROR(INDEX(Program!$I$2:$I$75,MATCH(B352,Program!$D$2:$D$75,0)),""))</f>
        <v/>
      </c>
      <c r="J352" s="11" t="str">
        <f aca="false">IF(COUNT(D352:G352)=0,"",COUNT(D352:G352))</f>
        <v/>
      </c>
      <c r="K352" s="12" t="str">
        <f aca="false">IF(OR(J352="",I352=""),"",IF(MIN(D352:G352)&gt;=I352,"Add load (smallest step)",IF(MAX(D352:G352)&lt;H352,"Below range: if again, drop 5–10%","Same load, add reps")))</f>
        <v/>
      </c>
      <c r="L352" s="20"/>
      <c r="M352" s="11" t="str">
        <f aca="false">IF(OR(L352="",C352="",H352="",C352=0),"",MAX(H352,ROUNDUP(30*((L352/C352)*(1+H352/30)-1),0)))</f>
        <v/>
      </c>
    </row>
    <row r="353" customFormat="false" ht="15" hidden="false" customHeight="false" outlineLevel="0" collapsed="false">
      <c r="A353" s="51"/>
      <c r="B353" s="54"/>
      <c r="C353" s="20"/>
      <c r="D353" s="20"/>
      <c r="E353" s="20"/>
      <c r="F353" s="20"/>
      <c r="G353" s="20"/>
      <c r="H353" s="11" t="str">
        <f aca="false">IF(B353="","",IFERROR(INDEX(Program!$H$2:$H$75,MATCH(B353,Program!$D$2:$D$75,0)),""))</f>
        <v/>
      </c>
      <c r="I353" s="11" t="str">
        <f aca="false">IF(B353="","",IFERROR(INDEX(Program!$I$2:$I$75,MATCH(B353,Program!$D$2:$D$75,0)),""))</f>
        <v/>
      </c>
      <c r="J353" s="11" t="str">
        <f aca="false">IF(COUNT(D353:G353)=0,"",COUNT(D353:G353))</f>
        <v/>
      </c>
      <c r="K353" s="12" t="str">
        <f aca="false">IF(OR(J353="",I353=""),"",IF(MIN(D353:G353)&gt;=I353,"Add load (smallest step)",IF(MAX(D353:G353)&lt;H353,"Below range: if again, drop 5–10%","Same load, add reps")))</f>
        <v/>
      </c>
      <c r="L353" s="20"/>
      <c r="M353" s="11" t="str">
        <f aca="false">IF(OR(L353="",C353="",H353="",C353=0),"",MAX(H353,ROUNDUP(30*((L353/C353)*(1+H353/30)-1),0)))</f>
        <v/>
      </c>
    </row>
    <row r="354" customFormat="false" ht="15" hidden="false" customHeight="false" outlineLevel="0" collapsed="false">
      <c r="A354" s="51"/>
      <c r="B354" s="54"/>
      <c r="C354" s="20"/>
      <c r="D354" s="20"/>
      <c r="E354" s="20"/>
      <c r="F354" s="20"/>
      <c r="G354" s="20"/>
      <c r="H354" s="11" t="str">
        <f aca="false">IF(B354="","",IFERROR(INDEX(Program!$H$2:$H$75,MATCH(B354,Program!$D$2:$D$75,0)),""))</f>
        <v/>
      </c>
      <c r="I354" s="11" t="str">
        <f aca="false">IF(B354="","",IFERROR(INDEX(Program!$I$2:$I$75,MATCH(B354,Program!$D$2:$D$75,0)),""))</f>
        <v/>
      </c>
      <c r="J354" s="11" t="str">
        <f aca="false">IF(COUNT(D354:G354)=0,"",COUNT(D354:G354))</f>
        <v/>
      </c>
      <c r="K354" s="12" t="str">
        <f aca="false">IF(OR(J354="",I354=""),"",IF(MIN(D354:G354)&gt;=I354,"Add load (smallest step)",IF(MAX(D354:G354)&lt;H354,"Below range: if again, drop 5–10%","Same load, add reps")))</f>
        <v/>
      </c>
      <c r="L354" s="20"/>
      <c r="M354" s="11" t="str">
        <f aca="false">IF(OR(L354="",C354="",H354="",C354=0),"",MAX(H354,ROUNDUP(30*((L354/C354)*(1+H354/30)-1),0)))</f>
        <v/>
      </c>
    </row>
    <row r="355" customFormat="false" ht="15" hidden="false" customHeight="false" outlineLevel="0" collapsed="false">
      <c r="A355" s="51"/>
      <c r="B355" s="54"/>
      <c r="C355" s="20"/>
      <c r="D355" s="20"/>
      <c r="E355" s="20"/>
      <c r="F355" s="20"/>
      <c r="G355" s="20"/>
      <c r="H355" s="11" t="str">
        <f aca="false">IF(B355="","",IFERROR(INDEX(Program!$H$2:$H$75,MATCH(B355,Program!$D$2:$D$75,0)),""))</f>
        <v/>
      </c>
      <c r="I355" s="11" t="str">
        <f aca="false">IF(B355="","",IFERROR(INDEX(Program!$I$2:$I$75,MATCH(B355,Program!$D$2:$D$75,0)),""))</f>
        <v/>
      </c>
      <c r="J355" s="11" t="str">
        <f aca="false">IF(COUNT(D355:G355)=0,"",COUNT(D355:G355))</f>
        <v/>
      </c>
      <c r="K355" s="12" t="str">
        <f aca="false">IF(OR(J355="",I355=""),"",IF(MIN(D355:G355)&gt;=I355,"Add load (smallest step)",IF(MAX(D355:G355)&lt;H355,"Below range: if again, drop 5–10%","Same load, add reps")))</f>
        <v/>
      </c>
      <c r="L355" s="20"/>
      <c r="M355" s="11" t="str">
        <f aca="false">IF(OR(L355="",C355="",H355="",C355=0),"",MAX(H355,ROUNDUP(30*((L355/C355)*(1+H355/30)-1),0)))</f>
        <v/>
      </c>
    </row>
    <row r="356" customFormat="false" ht="15" hidden="false" customHeight="false" outlineLevel="0" collapsed="false">
      <c r="A356" s="51"/>
      <c r="B356" s="54"/>
      <c r="C356" s="20"/>
      <c r="D356" s="20"/>
      <c r="E356" s="20"/>
      <c r="F356" s="20"/>
      <c r="G356" s="20"/>
      <c r="H356" s="11" t="str">
        <f aca="false">IF(B356="","",IFERROR(INDEX(Program!$H$2:$H$75,MATCH(B356,Program!$D$2:$D$75,0)),""))</f>
        <v/>
      </c>
      <c r="I356" s="11" t="str">
        <f aca="false">IF(B356="","",IFERROR(INDEX(Program!$I$2:$I$75,MATCH(B356,Program!$D$2:$D$75,0)),""))</f>
        <v/>
      </c>
      <c r="J356" s="11" t="str">
        <f aca="false">IF(COUNT(D356:G356)=0,"",COUNT(D356:G356))</f>
        <v/>
      </c>
      <c r="K356" s="12" t="str">
        <f aca="false">IF(OR(J356="",I356=""),"",IF(MIN(D356:G356)&gt;=I356,"Add load (smallest step)",IF(MAX(D356:G356)&lt;H356,"Below range: if again, drop 5–10%","Same load, add reps")))</f>
        <v/>
      </c>
      <c r="L356" s="20"/>
      <c r="M356" s="11" t="str">
        <f aca="false">IF(OR(L356="",C356="",H356="",C356=0),"",MAX(H356,ROUNDUP(30*((L356/C356)*(1+H356/30)-1),0)))</f>
        <v/>
      </c>
    </row>
    <row r="357" customFormat="false" ht="15" hidden="false" customHeight="false" outlineLevel="0" collapsed="false">
      <c r="A357" s="51"/>
      <c r="B357" s="54"/>
      <c r="C357" s="20"/>
      <c r="D357" s="20"/>
      <c r="E357" s="20"/>
      <c r="F357" s="20"/>
      <c r="G357" s="20"/>
      <c r="H357" s="11" t="str">
        <f aca="false">IF(B357="","",IFERROR(INDEX(Program!$H$2:$H$75,MATCH(B357,Program!$D$2:$D$75,0)),""))</f>
        <v/>
      </c>
      <c r="I357" s="11" t="str">
        <f aca="false">IF(B357="","",IFERROR(INDEX(Program!$I$2:$I$75,MATCH(B357,Program!$D$2:$D$75,0)),""))</f>
        <v/>
      </c>
      <c r="J357" s="11" t="str">
        <f aca="false">IF(COUNT(D357:G357)=0,"",COUNT(D357:G357))</f>
        <v/>
      </c>
      <c r="K357" s="12" t="str">
        <f aca="false">IF(OR(J357="",I357=""),"",IF(MIN(D357:G357)&gt;=I357,"Add load (smallest step)",IF(MAX(D357:G357)&lt;H357,"Below range: if again, drop 5–10%","Same load, add reps")))</f>
        <v/>
      </c>
      <c r="L357" s="20"/>
      <c r="M357" s="11" t="str">
        <f aca="false">IF(OR(L357="",C357="",H357="",C357=0),"",MAX(H357,ROUNDUP(30*((L357/C357)*(1+H357/30)-1),0)))</f>
        <v/>
      </c>
    </row>
    <row r="358" customFormat="false" ht="15" hidden="false" customHeight="false" outlineLevel="0" collapsed="false">
      <c r="A358" s="51"/>
      <c r="B358" s="54"/>
      <c r="C358" s="20"/>
      <c r="D358" s="20"/>
      <c r="E358" s="20"/>
      <c r="F358" s="20"/>
      <c r="G358" s="20"/>
      <c r="H358" s="11" t="str">
        <f aca="false">IF(B358="","",IFERROR(INDEX(Program!$H$2:$H$75,MATCH(B358,Program!$D$2:$D$75,0)),""))</f>
        <v/>
      </c>
      <c r="I358" s="11" t="str">
        <f aca="false">IF(B358="","",IFERROR(INDEX(Program!$I$2:$I$75,MATCH(B358,Program!$D$2:$D$75,0)),""))</f>
        <v/>
      </c>
      <c r="J358" s="11" t="str">
        <f aca="false">IF(COUNT(D358:G358)=0,"",COUNT(D358:G358))</f>
        <v/>
      </c>
      <c r="K358" s="12" t="str">
        <f aca="false">IF(OR(J358="",I358=""),"",IF(MIN(D358:G358)&gt;=I358,"Add load (smallest step)",IF(MAX(D358:G358)&lt;H358,"Below range: if again, drop 5–10%","Same load, add reps")))</f>
        <v/>
      </c>
      <c r="L358" s="20"/>
      <c r="M358" s="11" t="str">
        <f aca="false">IF(OR(L358="",C358="",H358="",C358=0),"",MAX(H358,ROUNDUP(30*((L358/C358)*(1+H358/30)-1),0)))</f>
        <v/>
      </c>
    </row>
    <row r="359" customFormat="false" ht="15" hidden="false" customHeight="false" outlineLevel="0" collapsed="false">
      <c r="A359" s="51"/>
      <c r="B359" s="54"/>
      <c r="C359" s="20"/>
      <c r="D359" s="20"/>
      <c r="E359" s="20"/>
      <c r="F359" s="20"/>
      <c r="G359" s="20"/>
      <c r="H359" s="11" t="str">
        <f aca="false">IF(B359="","",IFERROR(INDEX(Program!$H$2:$H$75,MATCH(B359,Program!$D$2:$D$75,0)),""))</f>
        <v/>
      </c>
      <c r="I359" s="11" t="str">
        <f aca="false">IF(B359="","",IFERROR(INDEX(Program!$I$2:$I$75,MATCH(B359,Program!$D$2:$D$75,0)),""))</f>
        <v/>
      </c>
      <c r="J359" s="11" t="str">
        <f aca="false">IF(COUNT(D359:G359)=0,"",COUNT(D359:G359))</f>
        <v/>
      </c>
      <c r="K359" s="12" t="str">
        <f aca="false">IF(OR(J359="",I359=""),"",IF(MIN(D359:G359)&gt;=I359,"Add load (smallest step)",IF(MAX(D359:G359)&lt;H359,"Below range: if again, drop 5–10%","Same load, add reps")))</f>
        <v/>
      </c>
      <c r="L359" s="20"/>
      <c r="M359" s="11" t="str">
        <f aca="false">IF(OR(L359="",C359="",H359="",C359=0),"",MAX(H359,ROUNDUP(30*((L359/C359)*(1+H359/30)-1),0)))</f>
        <v/>
      </c>
    </row>
    <row r="360" customFormat="false" ht="15" hidden="false" customHeight="false" outlineLevel="0" collapsed="false">
      <c r="A360" s="51"/>
      <c r="B360" s="54"/>
      <c r="C360" s="20"/>
      <c r="D360" s="20"/>
      <c r="E360" s="20"/>
      <c r="F360" s="20"/>
      <c r="G360" s="20"/>
      <c r="H360" s="11" t="str">
        <f aca="false">IF(B360="","",IFERROR(INDEX(Program!$H$2:$H$75,MATCH(B360,Program!$D$2:$D$75,0)),""))</f>
        <v/>
      </c>
      <c r="I360" s="11" t="str">
        <f aca="false">IF(B360="","",IFERROR(INDEX(Program!$I$2:$I$75,MATCH(B360,Program!$D$2:$D$75,0)),""))</f>
        <v/>
      </c>
      <c r="J360" s="11" t="str">
        <f aca="false">IF(COUNT(D360:G360)=0,"",COUNT(D360:G360))</f>
        <v/>
      </c>
      <c r="K360" s="12" t="str">
        <f aca="false">IF(OR(J360="",I360=""),"",IF(MIN(D360:G360)&gt;=I360,"Add load (smallest step)",IF(MAX(D360:G360)&lt;H360,"Below range: if again, drop 5–10%","Same load, add reps")))</f>
        <v/>
      </c>
      <c r="L360" s="20"/>
      <c r="M360" s="11" t="str">
        <f aca="false">IF(OR(L360="",C360="",H360="",C360=0),"",MAX(H360,ROUNDUP(30*((L360/C360)*(1+H360/30)-1),0)))</f>
        <v/>
      </c>
    </row>
    <row r="361" customFormat="false" ht="15" hidden="false" customHeight="false" outlineLevel="0" collapsed="false">
      <c r="A361" s="51"/>
      <c r="B361" s="54"/>
      <c r="C361" s="20"/>
      <c r="D361" s="20"/>
      <c r="E361" s="20"/>
      <c r="F361" s="20"/>
      <c r="G361" s="20"/>
      <c r="H361" s="11" t="str">
        <f aca="false">IF(B361="","",IFERROR(INDEX(Program!$H$2:$H$75,MATCH(B361,Program!$D$2:$D$75,0)),""))</f>
        <v/>
      </c>
      <c r="I361" s="11" t="str">
        <f aca="false">IF(B361="","",IFERROR(INDEX(Program!$I$2:$I$75,MATCH(B361,Program!$D$2:$D$75,0)),""))</f>
        <v/>
      </c>
      <c r="J361" s="11" t="str">
        <f aca="false">IF(COUNT(D361:G361)=0,"",COUNT(D361:G361))</f>
        <v/>
      </c>
      <c r="K361" s="12" t="str">
        <f aca="false">IF(OR(J361="",I361=""),"",IF(MIN(D361:G361)&gt;=I361,"Add load (smallest step)",IF(MAX(D361:G361)&lt;H361,"Below range: if again, drop 5–10%","Same load, add reps")))</f>
        <v/>
      </c>
      <c r="L361" s="20"/>
      <c r="M361" s="11" t="str">
        <f aca="false">IF(OR(L361="",C361="",H361="",C361=0),"",MAX(H361,ROUNDUP(30*((L361/C361)*(1+H361/30)-1),0)))</f>
        <v/>
      </c>
    </row>
    <row r="362" customFormat="false" ht="15" hidden="false" customHeight="false" outlineLevel="0" collapsed="false">
      <c r="A362" s="51"/>
      <c r="B362" s="54"/>
      <c r="C362" s="20"/>
      <c r="D362" s="20"/>
      <c r="E362" s="20"/>
      <c r="F362" s="20"/>
      <c r="G362" s="20"/>
      <c r="H362" s="11" t="str">
        <f aca="false">IF(B362="","",IFERROR(INDEX(Program!$H$2:$H$75,MATCH(B362,Program!$D$2:$D$75,0)),""))</f>
        <v/>
      </c>
      <c r="I362" s="11" t="str">
        <f aca="false">IF(B362="","",IFERROR(INDEX(Program!$I$2:$I$75,MATCH(B362,Program!$D$2:$D$75,0)),""))</f>
        <v/>
      </c>
      <c r="J362" s="11" t="str">
        <f aca="false">IF(COUNT(D362:G362)=0,"",COUNT(D362:G362))</f>
        <v/>
      </c>
      <c r="K362" s="12" t="str">
        <f aca="false">IF(OR(J362="",I362=""),"",IF(MIN(D362:G362)&gt;=I362,"Add load (smallest step)",IF(MAX(D362:G362)&lt;H362,"Below range: if again, drop 5–10%","Same load, add reps")))</f>
        <v/>
      </c>
      <c r="L362" s="20"/>
      <c r="M362" s="11" t="str">
        <f aca="false">IF(OR(L362="",C362="",H362="",C362=0),"",MAX(H362,ROUNDUP(30*((L362/C362)*(1+H362/30)-1),0)))</f>
        <v/>
      </c>
    </row>
    <row r="363" customFormat="false" ht="15" hidden="false" customHeight="false" outlineLevel="0" collapsed="false">
      <c r="A363" s="51"/>
      <c r="B363" s="54"/>
      <c r="C363" s="20"/>
      <c r="D363" s="20"/>
      <c r="E363" s="20"/>
      <c r="F363" s="20"/>
      <c r="G363" s="20"/>
      <c r="H363" s="11" t="str">
        <f aca="false">IF(B363="","",IFERROR(INDEX(Program!$H$2:$H$75,MATCH(B363,Program!$D$2:$D$75,0)),""))</f>
        <v/>
      </c>
      <c r="I363" s="11" t="str">
        <f aca="false">IF(B363="","",IFERROR(INDEX(Program!$I$2:$I$75,MATCH(B363,Program!$D$2:$D$75,0)),""))</f>
        <v/>
      </c>
      <c r="J363" s="11" t="str">
        <f aca="false">IF(COUNT(D363:G363)=0,"",COUNT(D363:G363))</f>
        <v/>
      </c>
      <c r="K363" s="12" t="str">
        <f aca="false">IF(OR(J363="",I363=""),"",IF(MIN(D363:G363)&gt;=I363,"Add load (smallest step)",IF(MAX(D363:G363)&lt;H363,"Below range: if again, drop 5–10%","Same load, add reps")))</f>
        <v/>
      </c>
      <c r="L363" s="20"/>
      <c r="M363" s="11" t="str">
        <f aca="false">IF(OR(L363="",C363="",H363="",C363=0),"",MAX(H363,ROUNDUP(30*((L363/C363)*(1+H363/30)-1),0)))</f>
        <v/>
      </c>
    </row>
    <row r="364" customFormat="false" ht="15" hidden="false" customHeight="false" outlineLevel="0" collapsed="false">
      <c r="A364" s="51"/>
      <c r="B364" s="54"/>
      <c r="C364" s="20"/>
      <c r="D364" s="20"/>
      <c r="E364" s="20"/>
      <c r="F364" s="20"/>
      <c r="G364" s="20"/>
      <c r="H364" s="11" t="str">
        <f aca="false">IF(B364="","",IFERROR(INDEX(Program!$H$2:$H$75,MATCH(B364,Program!$D$2:$D$75,0)),""))</f>
        <v/>
      </c>
      <c r="I364" s="11" t="str">
        <f aca="false">IF(B364="","",IFERROR(INDEX(Program!$I$2:$I$75,MATCH(B364,Program!$D$2:$D$75,0)),""))</f>
        <v/>
      </c>
      <c r="J364" s="11" t="str">
        <f aca="false">IF(COUNT(D364:G364)=0,"",COUNT(D364:G364))</f>
        <v/>
      </c>
      <c r="K364" s="12" t="str">
        <f aca="false">IF(OR(J364="",I364=""),"",IF(MIN(D364:G364)&gt;=I364,"Add load (smallest step)",IF(MAX(D364:G364)&lt;H364,"Below range: if again, drop 5–10%","Same load, add reps")))</f>
        <v/>
      </c>
      <c r="L364" s="20"/>
      <c r="M364" s="11" t="str">
        <f aca="false">IF(OR(L364="",C364="",H364="",C364=0),"",MAX(H364,ROUNDUP(30*((L364/C364)*(1+H364/30)-1),0)))</f>
        <v/>
      </c>
    </row>
    <row r="365" customFormat="false" ht="15" hidden="false" customHeight="false" outlineLevel="0" collapsed="false">
      <c r="A365" s="51"/>
      <c r="B365" s="54"/>
      <c r="C365" s="20"/>
      <c r="D365" s="20"/>
      <c r="E365" s="20"/>
      <c r="F365" s="20"/>
      <c r="G365" s="20"/>
      <c r="H365" s="11" t="str">
        <f aca="false">IF(B365="","",IFERROR(INDEX(Program!$H$2:$H$75,MATCH(B365,Program!$D$2:$D$75,0)),""))</f>
        <v/>
      </c>
      <c r="I365" s="11" t="str">
        <f aca="false">IF(B365="","",IFERROR(INDEX(Program!$I$2:$I$75,MATCH(B365,Program!$D$2:$D$75,0)),""))</f>
        <v/>
      </c>
      <c r="J365" s="11" t="str">
        <f aca="false">IF(COUNT(D365:G365)=0,"",COUNT(D365:G365))</f>
        <v/>
      </c>
      <c r="K365" s="12" t="str">
        <f aca="false">IF(OR(J365="",I365=""),"",IF(MIN(D365:G365)&gt;=I365,"Add load (smallest step)",IF(MAX(D365:G365)&lt;H365,"Below range: if again, drop 5–10%","Same load, add reps")))</f>
        <v/>
      </c>
      <c r="L365" s="20"/>
      <c r="M365" s="11" t="str">
        <f aca="false">IF(OR(L365="",C365="",H365="",C365=0),"",MAX(H365,ROUNDUP(30*((L365/C365)*(1+H365/30)-1),0)))</f>
        <v/>
      </c>
    </row>
    <row r="366" customFormat="false" ht="15" hidden="false" customHeight="false" outlineLevel="0" collapsed="false">
      <c r="A366" s="51"/>
      <c r="B366" s="54"/>
      <c r="C366" s="20"/>
      <c r="D366" s="20"/>
      <c r="E366" s="20"/>
      <c r="F366" s="20"/>
      <c r="G366" s="20"/>
      <c r="H366" s="11" t="str">
        <f aca="false">IF(B366="","",IFERROR(INDEX(Program!$H$2:$H$75,MATCH(B366,Program!$D$2:$D$75,0)),""))</f>
        <v/>
      </c>
      <c r="I366" s="11" t="str">
        <f aca="false">IF(B366="","",IFERROR(INDEX(Program!$I$2:$I$75,MATCH(B366,Program!$D$2:$D$75,0)),""))</f>
        <v/>
      </c>
      <c r="J366" s="11" t="str">
        <f aca="false">IF(COUNT(D366:G366)=0,"",COUNT(D366:G366))</f>
        <v/>
      </c>
      <c r="K366" s="12" t="str">
        <f aca="false">IF(OR(J366="",I366=""),"",IF(MIN(D366:G366)&gt;=I366,"Add load (smallest step)",IF(MAX(D366:G366)&lt;H366,"Below range: if again, drop 5–10%","Same load, add reps")))</f>
        <v/>
      </c>
      <c r="L366" s="20"/>
      <c r="M366" s="11" t="str">
        <f aca="false">IF(OR(L366="",C366="",H366="",C366=0),"",MAX(H366,ROUNDUP(30*((L366/C366)*(1+H366/30)-1),0)))</f>
        <v/>
      </c>
    </row>
    <row r="367" customFormat="false" ht="15" hidden="false" customHeight="false" outlineLevel="0" collapsed="false">
      <c r="A367" s="51"/>
      <c r="B367" s="54"/>
      <c r="C367" s="20"/>
      <c r="D367" s="20"/>
      <c r="E367" s="20"/>
      <c r="F367" s="20"/>
      <c r="G367" s="20"/>
      <c r="H367" s="11" t="str">
        <f aca="false">IF(B367="","",IFERROR(INDEX(Program!$H$2:$H$75,MATCH(B367,Program!$D$2:$D$75,0)),""))</f>
        <v/>
      </c>
      <c r="I367" s="11" t="str">
        <f aca="false">IF(B367="","",IFERROR(INDEX(Program!$I$2:$I$75,MATCH(B367,Program!$D$2:$D$75,0)),""))</f>
        <v/>
      </c>
      <c r="J367" s="11" t="str">
        <f aca="false">IF(COUNT(D367:G367)=0,"",COUNT(D367:G367))</f>
        <v/>
      </c>
      <c r="K367" s="12" t="str">
        <f aca="false">IF(OR(J367="",I367=""),"",IF(MIN(D367:G367)&gt;=I367,"Add load (smallest step)",IF(MAX(D367:G367)&lt;H367,"Below range: if again, drop 5–10%","Same load, add reps")))</f>
        <v/>
      </c>
      <c r="L367" s="20"/>
      <c r="M367" s="11" t="str">
        <f aca="false">IF(OR(L367="",C367="",H367="",C367=0),"",MAX(H367,ROUNDUP(30*((L367/C367)*(1+H367/30)-1),0)))</f>
        <v/>
      </c>
    </row>
    <row r="368" customFormat="false" ht="15" hidden="false" customHeight="false" outlineLevel="0" collapsed="false">
      <c r="A368" s="51"/>
      <c r="B368" s="54"/>
      <c r="C368" s="20"/>
      <c r="D368" s="20"/>
      <c r="E368" s="20"/>
      <c r="F368" s="20"/>
      <c r="G368" s="20"/>
      <c r="H368" s="11" t="str">
        <f aca="false">IF(B368="","",IFERROR(INDEX(Program!$H$2:$H$75,MATCH(B368,Program!$D$2:$D$75,0)),""))</f>
        <v/>
      </c>
      <c r="I368" s="11" t="str">
        <f aca="false">IF(B368="","",IFERROR(INDEX(Program!$I$2:$I$75,MATCH(B368,Program!$D$2:$D$75,0)),""))</f>
        <v/>
      </c>
      <c r="J368" s="11" t="str">
        <f aca="false">IF(COUNT(D368:G368)=0,"",COUNT(D368:G368))</f>
        <v/>
      </c>
      <c r="K368" s="12" t="str">
        <f aca="false">IF(OR(J368="",I368=""),"",IF(MIN(D368:G368)&gt;=I368,"Add load (smallest step)",IF(MAX(D368:G368)&lt;H368,"Below range: if again, drop 5–10%","Same load, add reps")))</f>
        <v/>
      </c>
      <c r="L368" s="20"/>
      <c r="M368" s="11" t="str">
        <f aca="false">IF(OR(L368="",C368="",H368="",C368=0),"",MAX(H368,ROUNDUP(30*((L368/C368)*(1+H368/30)-1),0)))</f>
        <v/>
      </c>
    </row>
    <row r="369" customFormat="false" ht="15" hidden="false" customHeight="false" outlineLevel="0" collapsed="false">
      <c r="A369" s="51"/>
      <c r="B369" s="54"/>
      <c r="C369" s="20"/>
      <c r="D369" s="20"/>
      <c r="E369" s="20"/>
      <c r="F369" s="20"/>
      <c r="G369" s="20"/>
      <c r="H369" s="11" t="str">
        <f aca="false">IF(B369="","",IFERROR(INDEX(Program!$H$2:$H$75,MATCH(B369,Program!$D$2:$D$75,0)),""))</f>
        <v/>
      </c>
      <c r="I369" s="11" t="str">
        <f aca="false">IF(B369="","",IFERROR(INDEX(Program!$I$2:$I$75,MATCH(B369,Program!$D$2:$D$75,0)),""))</f>
        <v/>
      </c>
      <c r="J369" s="11" t="str">
        <f aca="false">IF(COUNT(D369:G369)=0,"",COUNT(D369:G369))</f>
        <v/>
      </c>
      <c r="K369" s="12" t="str">
        <f aca="false">IF(OR(J369="",I369=""),"",IF(MIN(D369:G369)&gt;=I369,"Add load (smallest step)",IF(MAX(D369:G369)&lt;H369,"Below range: if again, drop 5–10%","Same load, add reps")))</f>
        <v/>
      </c>
      <c r="L369" s="20"/>
      <c r="M369" s="11" t="str">
        <f aca="false">IF(OR(L369="",C369="",H369="",C369=0),"",MAX(H369,ROUNDUP(30*((L369/C369)*(1+H369/30)-1),0)))</f>
        <v/>
      </c>
    </row>
    <row r="370" customFormat="false" ht="15" hidden="false" customHeight="false" outlineLevel="0" collapsed="false">
      <c r="A370" s="51"/>
      <c r="B370" s="54"/>
      <c r="C370" s="20"/>
      <c r="D370" s="20"/>
      <c r="E370" s="20"/>
      <c r="F370" s="20"/>
      <c r="G370" s="20"/>
      <c r="H370" s="11" t="str">
        <f aca="false">IF(B370="","",IFERROR(INDEX(Program!$H$2:$H$75,MATCH(B370,Program!$D$2:$D$75,0)),""))</f>
        <v/>
      </c>
      <c r="I370" s="11" t="str">
        <f aca="false">IF(B370="","",IFERROR(INDEX(Program!$I$2:$I$75,MATCH(B370,Program!$D$2:$D$75,0)),""))</f>
        <v/>
      </c>
      <c r="J370" s="11" t="str">
        <f aca="false">IF(COUNT(D370:G370)=0,"",COUNT(D370:G370))</f>
        <v/>
      </c>
      <c r="K370" s="12" t="str">
        <f aca="false">IF(OR(J370="",I370=""),"",IF(MIN(D370:G370)&gt;=I370,"Add load (smallest step)",IF(MAX(D370:G370)&lt;H370,"Below range: if again, drop 5–10%","Same load, add reps")))</f>
        <v/>
      </c>
      <c r="L370" s="20"/>
      <c r="M370" s="11" t="str">
        <f aca="false">IF(OR(L370="",C370="",H370="",C370=0),"",MAX(H370,ROUNDUP(30*((L370/C370)*(1+H370/30)-1),0)))</f>
        <v/>
      </c>
    </row>
    <row r="371" customFormat="false" ht="15" hidden="false" customHeight="false" outlineLevel="0" collapsed="false">
      <c r="A371" s="51"/>
      <c r="B371" s="54"/>
      <c r="C371" s="20"/>
      <c r="D371" s="20"/>
      <c r="E371" s="20"/>
      <c r="F371" s="20"/>
      <c r="G371" s="20"/>
      <c r="H371" s="11" t="str">
        <f aca="false">IF(B371="","",IFERROR(INDEX(Program!$H$2:$H$75,MATCH(B371,Program!$D$2:$D$75,0)),""))</f>
        <v/>
      </c>
      <c r="I371" s="11" t="str">
        <f aca="false">IF(B371="","",IFERROR(INDEX(Program!$I$2:$I$75,MATCH(B371,Program!$D$2:$D$75,0)),""))</f>
        <v/>
      </c>
      <c r="J371" s="11" t="str">
        <f aca="false">IF(COUNT(D371:G371)=0,"",COUNT(D371:G371))</f>
        <v/>
      </c>
      <c r="K371" s="12" t="str">
        <f aca="false">IF(OR(J371="",I371=""),"",IF(MIN(D371:G371)&gt;=I371,"Add load (smallest step)",IF(MAX(D371:G371)&lt;H371,"Below range: if again, drop 5–10%","Same load, add reps")))</f>
        <v/>
      </c>
      <c r="L371" s="20"/>
      <c r="M371" s="11" t="str">
        <f aca="false">IF(OR(L371="",C371="",H371="",C371=0),"",MAX(H371,ROUNDUP(30*((L371/C371)*(1+H371/30)-1),0)))</f>
        <v/>
      </c>
    </row>
    <row r="372" customFormat="false" ht="15" hidden="false" customHeight="false" outlineLevel="0" collapsed="false">
      <c r="A372" s="51"/>
      <c r="B372" s="54"/>
      <c r="C372" s="20"/>
      <c r="D372" s="20"/>
      <c r="E372" s="20"/>
      <c r="F372" s="20"/>
      <c r="G372" s="20"/>
      <c r="H372" s="11" t="str">
        <f aca="false">IF(B372="","",IFERROR(INDEX(Program!$H$2:$H$75,MATCH(B372,Program!$D$2:$D$75,0)),""))</f>
        <v/>
      </c>
      <c r="I372" s="11" t="str">
        <f aca="false">IF(B372="","",IFERROR(INDEX(Program!$I$2:$I$75,MATCH(B372,Program!$D$2:$D$75,0)),""))</f>
        <v/>
      </c>
      <c r="J372" s="11" t="str">
        <f aca="false">IF(COUNT(D372:G372)=0,"",COUNT(D372:G372))</f>
        <v/>
      </c>
      <c r="K372" s="12" t="str">
        <f aca="false">IF(OR(J372="",I372=""),"",IF(MIN(D372:G372)&gt;=I372,"Add load (smallest step)",IF(MAX(D372:G372)&lt;H372,"Below range: if again, drop 5–10%","Same load, add reps")))</f>
        <v/>
      </c>
      <c r="L372" s="20"/>
      <c r="M372" s="11" t="str">
        <f aca="false">IF(OR(L372="",C372="",H372="",C372=0),"",MAX(H372,ROUNDUP(30*((L372/C372)*(1+H372/30)-1),0)))</f>
        <v/>
      </c>
    </row>
    <row r="373" customFormat="false" ht="15" hidden="false" customHeight="false" outlineLevel="0" collapsed="false">
      <c r="A373" s="51"/>
      <c r="B373" s="54"/>
      <c r="C373" s="20"/>
      <c r="D373" s="20"/>
      <c r="E373" s="20"/>
      <c r="F373" s="20"/>
      <c r="G373" s="20"/>
      <c r="H373" s="11" t="str">
        <f aca="false">IF(B373="","",IFERROR(INDEX(Program!$H$2:$H$75,MATCH(B373,Program!$D$2:$D$75,0)),""))</f>
        <v/>
      </c>
      <c r="I373" s="11" t="str">
        <f aca="false">IF(B373="","",IFERROR(INDEX(Program!$I$2:$I$75,MATCH(B373,Program!$D$2:$D$75,0)),""))</f>
        <v/>
      </c>
      <c r="J373" s="11" t="str">
        <f aca="false">IF(COUNT(D373:G373)=0,"",COUNT(D373:G373))</f>
        <v/>
      </c>
      <c r="K373" s="12" t="str">
        <f aca="false">IF(OR(J373="",I373=""),"",IF(MIN(D373:G373)&gt;=I373,"Add load (smallest step)",IF(MAX(D373:G373)&lt;H373,"Below range: if again, drop 5–10%","Same load, add reps")))</f>
        <v/>
      </c>
      <c r="L373" s="20"/>
      <c r="M373" s="11" t="str">
        <f aca="false">IF(OR(L373="",C373="",H373="",C373=0),"",MAX(H373,ROUNDUP(30*((L373/C373)*(1+H373/30)-1),0)))</f>
        <v/>
      </c>
    </row>
    <row r="374" customFormat="false" ht="15" hidden="false" customHeight="false" outlineLevel="0" collapsed="false">
      <c r="A374" s="51"/>
      <c r="B374" s="54"/>
      <c r="C374" s="20"/>
      <c r="D374" s="20"/>
      <c r="E374" s="20"/>
      <c r="F374" s="20"/>
      <c r="G374" s="20"/>
      <c r="H374" s="11" t="str">
        <f aca="false">IF(B374="","",IFERROR(INDEX(Program!$H$2:$H$75,MATCH(B374,Program!$D$2:$D$75,0)),""))</f>
        <v/>
      </c>
      <c r="I374" s="11" t="str">
        <f aca="false">IF(B374="","",IFERROR(INDEX(Program!$I$2:$I$75,MATCH(B374,Program!$D$2:$D$75,0)),""))</f>
        <v/>
      </c>
      <c r="J374" s="11" t="str">
        <f aca="false">IF(COUNT(D374:G374)=0,"",COUNT(D374:G374))</f>
        <v/>
      </c>
      <c r="K374" s="12" t="str">
        <f aca="false">IF(OR(J374="",I374=""),"",IF(MIN(D374:G374)&gt;=I374,"Add load (smallest step)",IF(MAX(D374:G374)&lt;H374,"Below range: if again, drop 5–10%","Same load, add reps")))</f>
        <v/>
      </c>
      <c r="L374" s="20"/>
      <c r="M374" s="11" t="str">
        <f aca="false">IF(OR(L374="",C374="",H374="",C374=0),"",MAX(H374,ROUNDUP(30*((L374/C374)*(1+H374/30)-1),0)))</f>
        <v/>
      </c>
    </row>
    <row r="375" customFormat="false" ht="15" hidden="false" customHeight="false" outlineLevel="0" collapsed="false">
      <c r="A375" s="51"/>
      <c r="B375" s="54"/>
      <c r="C375" s="20"/>
      <c r="D375" s="20"/>
      <c r="E375" s="20"/>
      <c r="F375" s="20"/>
      <c r="G375" s="20"/>
      <c r="H375" s="11" t="str">
        <f aca="false">IF(B375="","",IFERROR(INDEX(Program!$H$2:$H$75,MATCH(B375,Program!$D$2:$D$75,0)),""))</f>
        <v/>
      </c>
      <c r="I375" s="11" t="str">
        <f aca="false">IF(B375="","",IFERROR(INDEX(Program!$I$2:$I$75,MATCH(B375,Program!$D$2:$D$75,0)),""))</f>
        <v/>
      </c>
      <c r="J375" s="11" t="str">
        <f aca="false">IF(COUNT(D375:G375)=0,"",COUNT(D375:G375))</f>
        <v/>
      </c>
      <c r="K375" s="12" t="str">
        <f aca="false">IF(OR(J375="",I375=""),"",IF(MIN(D375:G375)&gt;=I375,"Add load (smallest step)",IF(MAX(D375:G375)&lt;H375,"Below range: if again, drop 5–10%","Same load, add reps")))</f>
        <v/>
      </c>
      <c r="L375" s="20"/>
      <c r="M375" s="11" t="str">
        <f aca="false">IF(OR(L375="",C375="",H375="",C375=0),"",MAX(H375,ROUNDUP(30*((L375/C375)*(1+H375/30)-1),0)))</f>
        <v/>
      </c>
    </row>
    <row r="376" customFormat="false" ht="15" hidden="false" customHeight="false" outlineLevel="0" collapsed="false">
      <c r="A376" s="51"/>
      <c r="B376" s="54"/>
      <c r="C376" s="20"/>
      <c r="D376" s="20"/>
      <c r="E376" s="20"/>
      <c r="F376" s="20"/>
      <c r="G376" s="20"/>
      <c r="H376" s="11" t="str">
        <f aca="false">IF(B376="","",IFERROR(INDEX(Program!$H$2:$H$75,MATCH(B376,Program!$D$2:$D$75,0)),""))</f>
        <v/>
      </c>
      <c r="I376" s="11" t="str">
        <f aca="false">IF(B376="","",IFERROR(INDEX(Program!$I$2:$I$75,MATCH(B376,Program!$D$2:$D$75,0)),""))</f>
        <v/>
      </c>
      <c r="J376" s="11" t="str">
        <f aca="false">IF(COUNT(D376:G376)=0,"",COUNT(D376:G376))</f>
        <v/>
      </c>
      <c r="K376" s="12" t="str">
        <f aca="false">IF(OR(J376="",I376=""),"",IF(MIN(D376:G376)&gt;=I376,"Add load (smallest step)",IF(MAX(D376:G376)&lt;H376,"Below range: if again, drop 5–10%","Same load, add reps")))</f>
        <v/>
      </c>
      <c r="L376" s="20"/>
      <c r="M376" s="11" t="str">
        <f aca="false">IF(OR(L376="",C376="",H376="",C376=0),"",MAX(H376,ROUNDUP(30*((L376/C376)*(1+H376/30)-1),0)))</f>
        <v/>
      </c>
    </row>
    <row r="377" customFormat="false" ht="15" hidden="false" customHeight="false" outlineLevel="0" collapsed="false">
      <c r="A377" s="51"/>
      <c r="B377" s="54"/>
      <c r="C377" s="20"/>
      <c r="D377" s="20"/>
      <c r="E377" s="20"/>
      <c r="F377" s="20"/>
      <c r="G377" s="20"/>
      <c r="H377" s="11" t="str">
        <f aca="false">IF(B377="","",IFERROR(INDEX(Program!$H$2:$H$75,MATCH(B377,Program!$D$2:$D$75,0)),""))</f>
        <v/>
      </c>
      <c r="I377" s="11" t="str">
        <f aca="false">IF(B377="","",IFERROR(INDEX(Program!$I$2:$I$75,MATCH(B377,Program!$D$2:$D$75,0)),""))</f>
        <v/>
      </c>
      <c r="J377" s="11" t="str">
        <f aca="false">IF(COUNT(D377:G377)=0,"",COUNT(D377:G377))</f>
        <v/>
      </c>
      <c r="K377" s="12" t="str">
        <f aca="false">IF(OR(J377="",I377=""),"",IF(MIN(D377:G377)&gt;=I377,"Add load (smallest step)",IF(MAX(D377:G377)&lt;H377,"Below range: if again, drop 5–10%","Same load, add reps")))</f>
        <v/>
      </c>
      <c r="L377" s="20"/>
      <c r="M377" s="11" t="str">
        <f aca="false">IF(OR(L377="",C377="",H377="",C377=0),"",MAX(H377,ROUNDUP(30*((L377/C377)*(1+H377/30)-1),0)))</f>
        <v/>
      </c>
    </row>
    <row r="378" customFormat="false" ht="15" hidden="false" customHeight="false" outlineLevel="0" collapsed="false">
      <c r="A378" s="51"/>
      <c r="B378" s="54"/>
      <c r="C378" s="20"/>
      <c r="D378" s="20"/>
      <c r="E378" s="20"/>
      <c r="F378" s="20"/>
      <c r="G378" s="20"/>
      <c r="H378" s="11" t="str">
        <f aca="false">IF(B378="","",IFERROR(INDEX(Program!$H$2:$H$75,MATCH(B378,Program!$D$2:$D$75,0)),""))</f>
        <v/>
      </c>
      <c r="I378" s="11" t="str">
        <f aca="false">IF(B378="","",IFERROR(INDEX(Program!$I$2:$I$75,MATCH(B378,Program!$D$2:$D$75,0)),""))</f>
        <v/>
      </c>
      <c r="J378" s="11" t="str">
        <f aca="false">IF(COUNT(D378:G378)=0,"",COUNT(D378:G378))</f>
        <v/>
      </c>
      <c r="K378" s="12" t="str">
        <f aca="false">IF(OR(J378="",I378=""),"",IF(MIN(D378:G378)&gt;=I378,"Add load (smallest step)",IF(MAX(D378:G378)&lt;H378,"Below range: if again, drop 5–10%","Same load, add reps")))</f>
        <v/>
      </c>
      <c r="L378" s="20"/>
      <c r="M378" s="11" t="str">
        <f aca="false">IF(OR(L378="",C378="",H378="",C378=0),"",MAX(H378,ROUNDUP(30*((L378/C378)*(1+H378/30)-1),0)))</f>
        <v/>
      </c>
    </row>
    <row r="379" customFormat="false" ht="15" hidden="false" customHeight="false" outlineLevel="0" collapsed="false">
      <c r="A379" s="51"/>
      <c r="B379" s="54"/>
      <c r="C379" s="20"/>
      <c r="D379" s="20"/>
      <c r="E379" s="20"/>
      <c r="F379" s="20"/>
      <c r="G379" s="20"/>
      <c r="H379" s="11" t="str">
        <f aca="false">IF(B379="","",IFERROR(INDEX(Program!$H$2:$H$75,MATCH(B379,Program!$D$2:$D$75,0)),""))</f>
        <v/>
      </c>
      <c r="I379" s="11" t="str">
        <f aca="false">IF(B379="","",IFERROR(INDEX(Program!$I$2:$I$75,MATCH(B379,Program!$D$2:$D$75,0)),""))</f>
        <v/>
      </c>
      <c r="J379" s="11" t="str">
        <f aca="false">IF(COUNT(D379:G379)=0,"",COUNT(D379:G379))</f>
        <v/>
      </c>
      <c r="K379" s="12" t="str">
        <f aca="false">IF(OR(J379="",I379=""),"",IF(MIN(D379:G379)&gt;=I379,"Add load (smallest step)",IF(MAX(D379:G379)&lt;H379,"Below range: if again, drop 5–10%","Same load, add reps")))</f>
        <v/>
      </c>
      <c r="L379" s="20"/>
      <c r="M379" s="11" t="str">
        <f aca="false">IF(OR(L379="",C379="",H379="",C379=0),"",MAX(H379,ROUNDUP(30*((L379/C379)*(1+H379/30)-1),0)))</f>
        <v/>
      </c>
    </row>
    <row r="380" customFormat="false" ht="15" hidden="false" customHeight="false" outlineLevel="0" collapsed="false">
      <c r="A380" s="51"/>
      <c r="B380" s="54"/>
      <c r="C380" s="20"/>
      <c r="D380" s="20"/>
      <c r="E380" s="20"/>
      <c r="F380" s="20"/>
      <c r="G380" s="20"/>
      <c r="H380" s="11" t="str">
        <f aca="false">IF(B380="","",IFERROR(INDEX(Program!$H$2:$H$75,MATCH(B380,Program!$D$2:$D$75,0)),""))</f>
        <v/>
      </c>
      <c r="I380" s="11" t="str">
        <f aca="false">IF(B380="","",IFERROR(INDEX(Program!$I$2:$I$75,MATCH(B380,Program!$D$2:$D$75,0)),""))</f>
        <v/>
      </c>
      <c r="J380" s="11" t="str">
        <f aca="false">IF(COUNT(D380:G380)=0,"",COUNT(D380:G380))</f>
        <v/>
      </c>
      <c r="K380" s="12" t="str">
        <f aca="false">IF(OR(J380="",I380=""),"",IF(MIN(D380:G380)&gt;=I380,"Add load (smallest step)",IF(MAX(D380:G380)&lt;H380,"Below range: if again, drop 5–10%","Same load, add reps")))</f>
        <v/>
      </c>
      <c r="L380" s="20"/>
      <c r="M380" s="11" t="str">
        <f aca="false">IF(OR(L380="",C380="",H380="",C380=0),"",MAX(H380,ROUNDUP(30*((L380/C380)*(1+H380/30)-1),0)))</f>
        <v/>
      </c>
    </row>
    <row r="381" customFormat="false" ht="15" hidden="false" customHeight="false" outlineLevel="0" collapsed="false">
      <c r="A381" s="51"/>
      <c r="B381" s="54"/>
      <c r="C381" s="20"/>
      <c r="D381" s="20"/>
      <c r="E381" s="20"/>
      <c r="F381" s="20"/>
      <c r="G381" s="20"/>
      <c r="H381" s="11" t="str">
        <f aca="false">IF(B381="","",IFERROR(INDEX(Program!$H$2:$H$75,MATCH(B381,Program!$D$2:$D$75,0)),""))</f>
        <v/>
      </c>
      <c r="I381" s="11" t="str">
        <f aca="false">IF(B381="","",IFERROR(INDEX(Program!$I$2:$I$75,MATCH(B381,Program!$D$2:$D$75,0)),""))</f>
        <v/>
      </c>
      <c r="J381" s="11" t="str">
        <f aca="false">IF(COUNT(D381:G381)=0,"",COUNT(D381:G381))</f>
        <v/>
      </c>
      <c r="K381" s="12" t="str">
        <f aca="false">IF(OR(J381="",I381=""),"",IF(MIN(D381:G381)&gt;=I381,"Add load (smallest step)",IF(MAX(D381:G381)&lt;H381,"Below range: if again, drop 5–10%","Same load, add reps")))</f>
        <v/>
      </c>
      <c r="L381" s="20"/>
      <c r="M381" s="11" t="str">
        <f aca="false">IF(OR(L381="",C381="",H381="",C381=0),"",MAX(H381,ROUNDUP(30*((L381/C381)*(1+H381/30)-1),0)))</f>
        <v/>
      </c>
    </row>
    <row r="382" customFormat="false" ht="15" hidden="false" customHeight="false" outlineLevel="0" collapsed="false">
      <c r="A382" s="51"/>
      <c r="B382" s="54"/>
      <c r="C382" s="20"/>
      <c r="D382" s="20"/>
      <c r="E382" s="20"/>
      <c r="F382" s="20"/>
      <c r="G382" s="20"/>
      <c r="H382" s="11" t="str">
        <f aca="false">IF(B382="","",IFERROR(INDEX(Program!$H$2:$H$75,MATCH(B382,Program!$D$2:$D$75,0)),""))</f>
        <v/>
      </c>
      <c r="I382" s="11" t="str">
        <f aca="false">IF(B382="","",IFERROR(INDEX(Program!$I$2:$I$75,MATCH(B382,Program!$D$2:$D$75,0)),""))</f>
        <v/>
      </c>
      <c r="J382" s="11" t="str">
        <f aca="false">IF(COUNT(D382:G382)=0,"",COUNT(D382:G382))</f>
        <v/>
      </c>
      <c r="K382" s="12" t="str">
        <f aca="false">IF(OR(J382="",I382=""),"",IF(MIN(D382:G382)&gt;=I382,"Add load (smallest step)",IF(MAX(D382:G382)&lt;H382,"Below range: if again, drop 5–10%","Same load, add reps")))</f>
        <v/>
      </c>
      <c r="L382" s="20"/>
      <c r="M382" s="11" t="str">
        <f aca="false">IF(OR(L382="",C382="",H382="",C382=0),"",MAX(H382,ROUNDUP(30*((L382/C382)*(1+H382/30)-1),0)))</f>
        <v/>
      </c>
    </row>
    <row r="383" customFormat="false" ht="15" hidden="false" customHeight="false" outlineLevel="0" collapsed="false">
      <c r="A383" s="51"/>
      <c r="B383" s="54"/>
      <c r="C383" s="20"/>
      <c r="D383" s="20"/>
      <c r="E383" s="20"/>
      <c r="F383" s="20"/>
      <c r="G383" s="20"/>
      <c r="H383" s="11" t="str">
        <f aca="false">IF(B383="","",IFERROR(INDEX(Program!$H$2:$H$75,MATCH(B383,Program!$D$2:$D$75,0)),""))</f>
        <v/>
      </c>
      <c r="I383" s="11" t="str">
        <f aca="false">IF(B383="","",IFERROR(INDEX(Program!$I$2:$I$75,MATCH(B383,Program!$D$2:$D$75,0)),""))</f>
        <v/>
      </c>
      <c r="J383" s="11" t="str">
        <f aca="false">IF(COUNT(D383:G383)=0,"",COUNT(D383:G383))</f>
        <v/>
      </c>
      <c r="K383" s="12" t="str">
        <f aca="false">IF(OR(J383="",I383=""),"",IF(MIN(D383:G383)&gt;=I383,"Add load (smallest step)",IF(MAX(D383:G383)&lt;H383,"Below range: if again, drop 5–10%","Same load, add reps")))</f>
        <v/>
      </c>
      <c r="L383" s="20"/>
      <c r="M383" s="11" t="str">
        <f aca="false">IF(OR(L383="",C383="",H383="",C383=0),"",MAX(H383,ROUNDUP(30*((L383/C383)*(1+H383/30)-1),0)))</f>
        <v/>
      </c>
    </row>
    <row r="384" customFormat="false" ht="15" hidden="false" customHeight="false" outlineLevel="0" collapsed="false">
      <c r="A384" s="51"/>
      <c r="B384" s="54"/>
      <c r="C384" s="20"/>
      <c r="D384" s="20"/>
      <c r="E384" s="20"/>
      <c r="F384" s="20"/>
      <c r="G384" s="20"/>
      <c r="H384" s="11" t="str">
        <f aca="false">IF(B384="","",IFERROR(INDEX(Program!$H$2:$H$75,MATCH(B384,Program!$D$2:$D$75,0)),""))</f>
        <v/>
      </c>
      <c r="I384" s="11" t="str">
        <f aca="false">IF(B384="","",IFERROR(INDEX(Program!$I$2:$I$75,MATCH(B384,Program!$D$2:$D$75,0)),""))</f>
        <v/>
      </c>
      <c r="J384" s="11" t="str">
        <f aca="false">IF(COUNT(D384:G384)=0,"",COUNT(D384:G384))</f>
        <v/>
      </c>
      <c r="K384" s="12" t="str">
        <f aca="false">IF(OR(J384="",I384=""),"",IF(MIN(D384:G384)&gt;=I384,"Add load (smallest step)",IF(MAX(D384:G384)&lt;H384,"Below range: if again, drop 5–10%","Same load, add reps")))</f>
        <v/>
      </c>
      <c r="L384" s="20"/>
      <c r="M384" s="11" t="str">
        <f aca="false">IF(OR(L384="",C384="",H384="",C384=0),"",MAX(H384,ROUNDUP(30*((L384/C384)*(1+H384/30)-1),0)))</f>
        <v/>
      </c>
    </row>
    <row r="385" customFormat="false" ht="15" hidden="false" customHeight="false" outlineLevel="0" collapsed="false">
      <c r="A385" s="51"/>
      <c r="B385" s="54"/>
      <c r="C385" s="20"/>
      <c r="D385" s="20"/>
      <c r="E385" s="20"/>
      <c r="F385" s="20"/>
      <c r="G385" s="20"/>
      <c r="H385" s="11" t="str">
        <f aca="false">IF(B385="","",IFERROR(INDEX(Program!$H$2:$H$75,MATCH(B385,Program!$D$2:$D$75,0)),""))</f>
        <v/>
      </c>
      <c r="I385" s="11" t="str">
        <f aca="false">IF(B385="","",IFERROR(INDEX(Program!$I$2:$I$75,MATCH(B385,Program!$D$2:$D$75,0)),""))</f>
        <v/>
      </c>
      <c r="J385" s="11" t="str">
        <f aca="false">IF(COUNT(D385:G385)=0,"",COUNT(D385:G385))</f>
        <v/>
      </c>
      <c r="K385" s="12" t="str">
        <f aca="false">IF(OR(J385="",I385=""),"",IF(MIN(D385:G385)&gt;=I385,"Add load (smallest step)",IF(MAX(D385:G385)&lt;H385,"Below range: if again, drop 5–10%","Same load, add reps")))</f>
        <v/>
      </c>
      <c r="L385" s="20"/>
      <c r="M385" s="11" t="str">
        <f aca="false">IF(OR(L385="",C385="",H385="",C385=0),"",MAX(H385,ROUNDUP(30*((L385/C385)*(1+H385/30)-1),0)))</f>
        <v/>
      </c>
    </row>
    <row r="386" customFormat="false" ht="15" hidden="false" customHeight="false" outlineLevel="0" collapsed="false">
      <c r="A386" s="51"/>
      <c r="B386" s="54"/>
      <c r="C386" s="20"/>
      <c r="D386" s="20"/>
      <c r="E386" s="20"/>
      <c r="F386" s="20"/>
      <c r="G386" s="20"/>
      <c r="H386" s="11" t="str">
        <f aca="false">IF(B386="","",IFERROR(INDEX(Program!$H$2:$H$75,MATCH(B386,Program!$D$2:$D$75,0)),""))</f>
        <v/>
      </c>
      <c r="I386" s="11" t="str">
        <f aca="false">IF(B386="","",IFERROR(INDEX(Program!$I$2:$I$75,MATCH(B386,Program!$D$2:$D$75,0)),""))</f>
        <v/>
      </c>
      <c r="J386" s="11" t="str">
        <f aca="false">IF(COUNT(D386:G386)=0,"",COUNT(D386:G386))</f>
        <v/>
      </c>
      <c r="K386" s="12" t="str">
        <f aca="false">IF(OR(J386="",I386=""),"",IF(MIN(D386:G386)&gt;=I386,"Add load (smallest step)",IF(MAX(D386:G386)&lt;H386,"Below range: if again, drop 5–10%","Same load, add reps")))</f>
        <v/>
      </c>
      <c r="L386" s="20"/>
      <c r="M386" s="11" t="str">
        <f aca="false">IF(OR(L386="",C386="",H386="",C386=0),"",MAX(H386,ROUNDUP(30*((L386/C386)*(1+H386/30)-1),0)))</f>
        <v/>
      </c>
    </row>
    <row r="387" customFormat="false" ht="15" hidden="false" customHeight="false" outlineLevel="0" collapsed="false">
      <c r="A387" s="51"/>
      <c r="B387" s="54"/>
      <c r="C387" s="20"/>
      <c r="D387" s="20"/>
      <c r="E387" s="20"/>
      <c r="F387" s="20"/>
      <c r="G387" s="20"/>
      <c r="H387" s="11" t="str">
        <f aca="false">IF(B387="","",IFERROR(INDEX(Program!$H$2:$H$75,MATCH(B387,Program!$D$2:$D$75,0)),""))</f>
        <v/>
      </c>
      <c r="I387" s="11" t="str">
        <f aca="false">IF(B387="","",IFERROR(INDEX(Program!$I$2:$I$75,MATCH(B387,Program!$D$2:$D$75,0)),""))</f>
        <v/>
      </c>
      <c r="J387" s="11" t="str">
        <f aca="false">IF(COUNT(D387:G387)=0,"",COUNT(D387:G387))</f>
        <v/>
      </c>
      <c r="K387" s="12" t="str">
        <f aca="false">IF(OR(J387="",I387=""),"",IF(MIN(D387:G387)&gt;=I387,"Add load (smallest step)",IF(MAX(D387:G387)&lt;H387,"Below range: if again, drop 5–10%","Same load, add reps")))</f>
        <v/>
      </c>
      <c r="L387" s="20"/>
      <c r="M387" s="11" t="str">
        <f aca="false">IF(OR(L387="",C387="",H387="",C387=0),"",MAX(H387,ROUNDUP(30*((L387/C387)*(1+H387/30)-1),0)))</f>
        <v/>
      </c>
    </row>
    <row r="388" customFormat="false" ht="15" hidden="false" customHeight="false" outlineLevel="0" collapsed="false">
      <c r="A388" s="51"/>
      <c r="B388" s="54"/>
      <c r="C388" s="20"/>
      <c r="D388" s="20"/>
      <c r="E388" s="20"/>
      <c r="F388" s="20"/>
      <c r="G388" s="20"/>
      <c r="H388" s="11" t="str">
        <f aca="false">IF(B388="","",IFERROR(INDEX(Program!$H$2:$H$75,MATCH(B388,Program!$D$2:$D$75,0)),""))</f>
        <v/>
      </c>
      <c r="I388" s="11" t="str">
        <f aca="false">IF(B388="","",IFERROR(INDEX(Program!$I$2:$I$75,MATCH(B388,Program!$D$2:$D$75,0)),""))</f>
        <v/>
      </c>
      <c r="J388" s="11" t="str">
        <f aca="false">IF(COUNT(D388:G388)=0,"",COUNT(D388:G388))</f>
        <v/>
      </c>
      <c r="K388" s="12" t="str">
        <f aca="false">IF(OR(J388="",I388=""),"",IF(MIN(D388:G388)&gt;=I388,"Add load (smallest step)",IF(MAX(D388:G388)&lt;H388,"Below range: if again, drop 5–10%","Same load, add reps")))</f>
        <v/>
      </c>
      <c r="L388" s="20"/>
      <c r="M388" s="11" t="str">
        <f aca="false">IF(OR(L388="",C388="",H388="",C388=0),"",MAX(H388,ROUNDUP(30*((L388/C388)*(1+H388/30)-1),0)))</f>
        <v/>
      </c>
    </row>
    <row r="389" customFormat="false" ht="15" hidden="false" customHeight="false" outlineLevel="0" collapsed="false">
      <c r="A389" s="51"/>
      <c r="B389" s="54"/>
      <c r="C389" s="20"/>
      <c r="D389" s="20"/>
      <c r="E389" s="20"/>
      <c r="F389" s="20"/>
      <c r="G389" s="20"/>
      <c r="H389" s="11" t="str">
        <f aca="false">IF(B389="","",IFERROR(INDEX(Program!$H$2:$H$75,MATCH(B389,Program!$D$2:$D$75,0)),""))</f>
        <v/>
      </c>
      <c r="I389" s="11" t="str">
        <f aca="false">IF(B389="","",IFERROR(INDEX(Program!$I$2:$I$75,MATCH(B389,Program!$D$2:$D$75,0)),""))</f>
        <v/>
      </c>
      <c r="J389" s="11" t="str">
        <f aca="false">IF(COUNT(D389:G389)=0,"",COUNT(D389:G389))</f>
        <v/>
      </c>
      <c r="K389" s="12" t="str">
        <f aca="false">IF(OR(J389="",I389=""),"",IF(MIN(D389:G389)&gt;=I389,"Add load (smallest step)",IF(MAX(D389:G389)&lt;H389,"Below range: if again, drop 5–10%","Same load, add reps")))</f>
        <v/>
      </c>
      <c r="L389" s="20"/>
      <c r="M389" s="11" t="str">
        <f aca="false">IF(OR(L389="",C389="",H389="",C389=0),"",MAX(H389,ROUNDUP(30*((L389/C389)*(1+H389/30)-1),0)))</f>
        <v/>
      </c>
    </row>
    <row r="390" customFormat="false" ht="15" hidden="false" customHeight="false" outlineLevel="0" collapsed="false">
      <c r="A390" s="51"/>
      <c r="B390" s="54"/>
      <c r="C390" s="20"/>
      <c r="D390" s="20"/>
      <c r="E390" s="20"/>
      <c r="F390" s="20"/>
      <c r="G390" s="20"/>
      <c r="H390" s="11" t="str">
        <f aca="false">IF(B390="","",IFERROR(INDEX(Program!$H$2:$H$75,MATCH(B390,Program!$D$2:$D$75,0)),""))</f>
        <v/>
      </c>
      <c r="I390" s="11" t="str">
        <f aca="false">IF(B390="","",IFERROR(INDEX(Program!$I$2:$I$75,MATCH(B390,Program!$D$2:$D$75,0)),""))</f>
        <v/>
      </c>
      <c r="J390" s="11" t="str">
        <f aca="false">IF(COUNT(D390:G390)=0,"",COUNT(D390:G390))</f>
        <v/>
      </c>
      <c r="K390" s="12" t="str">
        <f aca="false">IF(OR(J390="",I390=""),"",IF(MIN(D390:G390)&gt;=I390,"Add load (smallest step)",IF(MAX(D390:G390)&lt;H390,"Below range: if again, drop 5–10%","Same load, add reps")))</f>
        <v/>
      </c>
      <c r="L390" s="20"/>
      <c r="M390" s="11" t="str">
        <f aca="false">IF(OR(L390="",C390="",H390="",C390=0),"",MAX(H390,ROUNDUP(30*((L390/C390)*(1+H390/30)-1),0)))</f>
        <v/>
      </c>
    </row>
    <row r="391" customFormat="false" ht="15" hidden="false" customHeight="false" outlineLevel="0" collapsed="false">
      <c r="A391" s="51"/>
      <c r="B391" s="54"/>
      <c r="C391" s="20"/>
      <c r="D391" s="20"/>
      <c r="E391" s="20"/>
      <c r="F391" s="20"/>
      <c r="G391" s="20"/>
      <c r="H391" s="11" t="str">
        <f aca="false">IF(B391="","",IFERROR(INDEX(Program!$H$2:$H$75,MATCH(B391,Program!$D$2:$D$75,0)),""))</f>
        <v/>
      </c>
      <c r="I391" s="11" t="str">
        <f aca="false">IF(B391="","",IFERROR(INDEX(Program!$I$2:$I$75,MATCH(B391,Program!$D$2:$D$75,0)),""))</f>
        <v/>
      </c>
      <c r="J391" s="11" t="str">
        <f aca="false">IF(COUNT(D391:G391)=0,"",COUNT(D391:G391))</f>
        <v/>
      </c>
      <c r="K391" s="12" t="str">
        <f aca="false">IF(OR(J391="",I391=""),"",IF(MIN(D391:G391)&gt;=I391,"Add load (smallest step)",IF(MAX(D391:G391)&lt;H391,"Below range: if again, drop 5–10%","Same load, add reps")))</f>
        <v/>
      </c>
      <c r="L391" s="20"/>
      <c r="M391" s="11" t="str">
        <f aca="false">IF(OR(L391="",C391="",H391="",C391=0),"",MAX(H391,ROUNDUP(30*((L391/C391)*(1+H391/30)-1),0)))</f>
        <v/>
      </c>
    </row>
    <row r="392" customFormat="false" ht="15" hidden="false" customHeight="false" outlineLevel="0" collapsed="false">
      <c r="A392" s="51"/>
      <c r="B392" s="54"/>
      <c r="C392" s="20"/>
      <c r="D392" s="20"/>
      <c r="E392" s="20"/>
      <c r="F392" s="20"/>
      <c r="G392" s="20"/>
      <c r="H392" s="11" t="str">
        <f aca="false">IF(B392="","",IFERROR(INDEX(Program!$H$2:$H$75,MATCH(B392,Program!$D$2:$D$75,0)),""))</f>
        <v/>
      </c>
      <c r="I392" s="11" t="str">
        <f aca="false">IF(B392="","",IFERROR(INDEX(Program!$I$2:$I$75,MATCH(B392,Program!$D$2:$D$75,0)),""))</f>
        <v/>
      </c>
      <c r="J392" s="11" t="str">
        <f aca="false">IF(COUNT(D392:G392)=0,"",COUNT(D392:G392))</f>
        <v/>
      </c>
      <c r="K392" s="12" t="str">
        <f aca="false">IF(OR(J392="",I392=""),"",IF(MIN(D392:G392)&gt;=I392,"Add load (smallest step)",IF(MAX(D392:G392)&lt;H392,"Below range: if again, drop 5–10%","Same load, add reps")))</f>
        <v/>
      </c>
      <c r="L392" s="20"/>
      <c r="M392" s="11" t="str">
        <f aca="false">IF(OR(L392="",C392="",H392="",C392=0),"",MAX(H392,ROUNDUP(30*((L392/C392)*(1+H392/30)-1),0)))</f>
        <v/>
      </c>
    </row>
    <row r="393" customFormat="false" ht="15" hidden="false" customHeight="false" outlineLevel="0" collapsed="false">
      <c r="A393" s="51"/>
      <c r="B393" s="54"/>
      <c r="C393" s="20"/>
      <c r="D393" s="20"/>
      <c r="E393" s="20"/>
      <c r="F393" s="20"/>
      <c r="G393" s="20"/>
      <c r="H393" s="11" t="str">
        <f aca="false">IF(B393="","",IFERROR(INDEX(Program!$H$2:$H$75,MATCH(B393,Program!$D$2:$D$75,0)),""))</f>
        <v/>
      </c>
      <c r="I393" s="11" t="str">
        <f aca="false">IF(B393="","",IFERROR(INDEX(Program!$I$2:$I$75,MATCH(B393,Program!$D$2:$D$75,0)),""))</f>
        <v/>
      </c>
      <c r="J393" s="11" t="str">
        <f aca="false">IF(COUNT(D393:G393)=0,"",COUNT(D393:G393))</f>
        <v/>
      </c>
      <c r="K393" s="12" t="str">
        <f aca="false">IF(OR(J393="",I393=""),"",IF(MIN(D393:G393)&gt;=I393,"Add load (smallest step)",IF(MAX(D393:G393)&lt;H393,"Below range: if again, drop 5–10%","Same load, add reps")))</f>
        <v/>
      </c>
      <c r="L393" s="20"/>
      <c r="M393" s="11" t="str">
        <f aca="false">IF(OR(L393="",C393="",H393="",C393=0),"",MAX(H393,ROUNDUP(30*((L393/C393)*(1+H393/30)-1),0)))</f>
        <v/>
      </c>
    </row>
    <row r="394" customFormat="false" ht="15" hidden="false" customHeight="false" outlineLevel="0" collapsed="false">
      <c r="A394" s="51"/>
      <c r="B394" s="54"/>
      <c r="C394" s="20"/>
      <c r="D394" s="20"/>
      <c r="E394" s="20"/>
      <c r="F394" s="20"/>
      <c r="G394" s="20"/>
      <c r="H394" s="11" t="str">
        <f aca="false">IF(B394="","",IFERROR(INDEX(Program!$H$2:$H$75,MATCH(B394,Program!$D$2:$D$75,0)),""))</f>
        <v/>
      </c>
      <c r="I394" s="11" t="str">
        <f aca="false">IF(B394="","",IFERROR(INDEX(Program!$I$2:$I$75,MATCH(B394,Program!$D$2:$D$75,0)),""))</f>
        <v/>
      </c>
      <c r="J394" s="11" t="str">
        <f aca="false">IF(COUNT(D394:G394)=0,"",COUNT(D394:G394))</f>
        <v/>
      </c>
      <c r="K394" s="12" t="str">
        <f aca="false">IF(OR(J394="",I394=""),"",IF(MIN(D394:G394)&gt;=I394,"Add load (smallest step)",IF(MAX(D394:G394)&lt;H394,"Below range: if again, drop 5–10%","Same load, add reps")))</f>
        <v/>
      </c>
      <c r="L394" s="20"/>
      <c r="M394" s="11" t="str">
        <f aca="false">IF(OR(L394="",C394="",H394="",C394=0),"",MAX(H394,ROUNDUP(30*((L394/C394)*(1+H394/30)-1),0)))</f>
        <v/>
      </c>
    </row>
    <row r="395" customFormat="false" ht="15" hidden="false" customHeight="false" outlineLevel="0" collapsed="false">
      <c r="A395" s="51"/>
      <c r="B395" s="54"/>
      <c r="C395" s="20"/>
      <c r="D395" s="20"/>
      <c r="E395" s="20"/>
      <c r="F395" s="20"/>
      <c r="G395" s="20"/>
      <c r="H395" s="11" t="str">
        <f aca="false">IF(B395="","",IFERROR(INDEX(Program!$H$2:$H$75,MATCH(B395,Program!$D$2:$D$75,0)),""))</f>
        <v/>
      </c>
      <c r="I395" s="11" t="str">
        <f aca="false">IF(B395="","",IFERROR(INDEX(Program!$I$2:$I$75,MATCH(B395,Program!$D$2:$D$75,0)),""))</f>
        <v/>
      </c>
      <c r="J395" s="11" t="str">
        <f aca="false">IF(COUNT(D395:G395)=0,"",COUNT(D395:G395))</f>
        <v/>
      </c>
      <c r="K395" s="12" t="str">
        <f aca="false">IF(OR(J395="",I395=""),"",IF(MIN(D395:G395)&gt;=I395,"Add load (smallest step)",IF(MAX(D395:G395)&lt;H395,"Below range: if again, drop 5–10%","Same load, add reps")))</f>
        <v/>
      </c>
      <c r="L395" s="20"/>
      <c r="M395" s="11" t="str">
        <f aca="false">IF(OR(L395="",C395="",H395="",C395=0),"",MAX(H395,ROUNDUP(30*((L395/C395)*(1+H395/30)-1),0)))</f>
        <v/>
      </c>
    </row>
    <row r="396" customFormat="false" ht="15" hidden="false" customHeight="false" outlineLevel="0" collapsed="false">
      <c r="A396" s="51"/>
      <c r="B396" s="54"/>
      <c r="C396" s="20"/>
      <c r="D396" s="20"/>
      <c r="E396" s="20"/>
      <c r="F396" s="20"/>
      <c r="G396" s="20"/>
      <c r="H396" s="11" t="str">
        <f aca="false">IF(B396="","",IFERROR(INDEX(Program!$H$2:$H$75,MATCH(B396,Program!$D$2:$D$75,0)),""))</f>
        <v/>
      </c>
      <c r="I396" s="11" t="str">
        <f aca="false">IF(B396="","",IFERROR(INDEX(Program!$I$2:$I$75,MATCH(B396,Program!$D$2:$D$75,0)),""))</f>
        <v/>
      </c>
      <c r="J396" s="11" t="str">
        <f aca="false">IF(COUNT(D396:G396)=0,"",COUNT(D396:G396))</f>
        <v/>
      </c>
      <c r="K396" s="12" t="str">
        <f aca="false">IF(OR(J396="",I396=""),"",IF(MIN(D396:G396)&gt;=I396,"Add load (smallest step)",IF(MAX(D396:G396)&lt;H396,"Below range: if again, drop 5–10%","Same load, add reps")))</f>
        <v/>
      </c>
      <c r="L396" s="20"/>
      <c r="M396" s="11" t="str">
        <f aca="false">IF(OR(L396="",C396="",H396="",C396=0),"",MAX(H396,ROUNDUP(30*((L396/C396)*(1+H396/30)-1),0)))</f>
        <v/>
      </c>
    </row>
    <row r="397" customFormat="false" ht="15" hidden="false" customHeight="false" outlineLevel="0" collapsed="false">
      <c r="A397" s="51"/>
      <c r="B397" s="54"/>
      <c r="C397" s="20"/>
      <c r="D397" s="20"/>
      <c r="E397" s="20"/>
      <c r="F397" s="20"/>
      <c r="G397" s="20"/>
      <c r="H397" s="11" t="str">
        <f aca="false">IF(B397="","",IFERROR(INDEX(Program!$H$2:$H$75,MATCH(B397,Program!$D$2:$D$75,0)),""))</f>
        <v/>
      </c>
      <c r="I397" s="11" t="str">
        <f aca="false">IF(B397="","",IFERROR(INDEX(Program!$I$2:$I$75,MATCH(B397,Program!$D$2:$D$75,0)),""))</f>
        <v/>
      </c>
      <c r="J397" s="11" t="str">
        <f aca="false">IF(COUNT(D397:G397)=0,"",COUNT(D397:G397))</f>
        <v/>
      </c>
      <c r="K397" s="12" t="str">
        <f aca="false">IF(OR(J397="",I397=""),"",IF(MIN(D397:G397)&gt;=I397,"Add load (smallest step)",IF(MAX(D397:G397)&lt;H397,"Below range: if again, drop 5–10%","Same load, add reps")))</f>
        <v/>
      </c>
      <c r="L397" s="20"/>
      <c r="M397" s="11" t="str">
        <f aca="false">IF(OR(L397="",C397="",H397="",C397=0),"",MAX(H397,ROUNDUP(30*((L397/C397)*(1+H397/30)-1),0)))</f>
        <v/>
      </c>
    </row>
    <row r="398" customFormat="false" ht="15" hidden="false" customHeight="false" outlineLevel="0" collapsed="false">
      <c r="A398" s="51"/>
      <c r="B398" s="54"/>
      <c r="C398" s="20"/>
      <c r="D398" s="20"/>
      <c r="E398" s="20"/>
      <c r="F398" s="20"/>
      <c r="G398" s="20"/>
      <c r="H398" s="11" t="str">
        <f aca="false">IF(B398="","",IFERROR(INDEX(Program!$H$2:$H$75,MATCH(B398,Program!$D$2:$D$75,0)),""))</f>
        <v/>
      </c>
      <c r="I398" s="11" t="str">
        <f aca="false">IF(B398="","",IFERROR(INDEX(Program!$I$2:$I$75,MATCH(B398,Program!$D$2:$D$75,0)),""))</f>
        <v/>
      </c>
      <c r="J398" s="11" t="str">
        <f aca="false">IF(COUNT(D398:G398)=0,"",COUNT(D398:G398))</f>
        <v/>
      </c>
      <c r="K398" s="12" t="str">
        <f aca="false">IF(OR(J398="",I398=""),"",IF(MIN(D398:G398)&gt;=I398,"Add load (smallest step)",IF(MAX(D398:G398)&lt;H398,"Below range: if again, drop 5–10%","Same load, add reps")))</f>
        <v/>
      </c>
      <c r="L398" s="20"/>
      <c r="M398" s="11" t="str">
        <f aca="false">IF(OR(L398="",C398="",H398="",C398=0),"",MAX(H398,ROUNDUP(30*((L398/C398)*(1+H398/30)-1),0)))</f>
        <v/>
      </c>
    </row>
    <row r="399" customFormat="false" ht="15" hidden="false" customHeight="false" outlineLevel="0" collapsed="false">
      <c r="A399" s="51"/>
      <c r="B399" s="54"/>
      <c r="C399" s="20"/>
      <c r="D399" s="20"/>
      <c r="E399" s="20"/>
      <c r="F399" s="20"/>
      <c r="G399" s="20"/>
      <c r="H399" s="11" t="str">
        <f aca="false">IF(B399="","",IFERROR(INDEX(Program!$H$2:$H$75,MATCH(B399,Program!$D$2:$D$75,0)),""))</f>
        <v/>
      </c>
      <c r="I399" s="11" t="str">
        <f aca="false">IF(B399="","",IFERROR(INDEX(Program!$I$2:$I$75,MATCH(B399,Program!$D$2:$D$75,0)),""))</f>
        <v/>
      </c>
      <c r="J399" s="11" t="str">
        <f aca="false">IF(COUNT(D399:G399)=0,"",COUNT(D399:G399))</f>
        <v/>
      </c>
      <c r="K399" s="12" t="str">
        <f aca="false">IF(OR(J399="",I399=""),"",IF(MIN(D399:G399)&gt;=I399,"Add load (smallest step)",IF(MAX(D399:G399)&lt;H399,"Below range: if again, drop 5–10%","Same load, add reps")))</f>
        <v/>
      </c>
      <c r="L399" s="20"/>
      <c r="M399" s="11" t="str">
        <f aca="false">IF(OR(L399="",C399="",H399="",C399=0),"",MAX(H399,ROUNDUP(30*((L399/C399)*(1+H399/30)-1),0)))</f>
        <v/>
      </c>
    </row>
    <row r="400" customFormat="false" ht="15" hidden="false" customHeight="false" outlineLevel="0" collapsed="false">
      <c r="A400" s="51"/>
      <c r="B400" s="54"/>
      <c r="C400" s="20"/>
      <c r="D400" s="20"/>
      <c r="E400" s="20"/>
      <c r="F400" s="20"/>
      <c r="G400" s="20"/>
      <c r="H400" s="11" t="str">
        <f aca="false">IF(B400="","",IFERROR(INDEX(Program!$H$2:$H$75,MATCH(B400,Program!$D$2:$D$75,0)),""))</f>
        <v/>
      </c>
      <c r="I400" s="11" t="str">
        <f aca="false">IF(B400="","",IFERROR(INDEX(Program!$I$2:$I$75,MATCH(B400,Program!$D$2:$D$75,0)),""))</f>
        <v/>
      </c>
      <c r="J400" s="11" t="str">
        <f aca="false">IF(COUNT(D400:G400)=0,"",COUNT(D400:G400))</f>
        <v/>
      </c>
      <c r="K400" s="12" t="str">
        <f aca="false">IF(OR(J400="",I400=""),"",IF(MIN(D400:G400)&gt;=I400,"Add load (smallest step)",IF(MAX(D400:G400)&lt;H400,"Below range: if again, drop 5–10%","Same load, add reps")))</f>
        <v/>
      </c>
      <c r="L400" s="20"/>
      <c r="M400" s="11" t="str">
        <f aca="false">IF(OR(L400="",C400="",H400="",C400=0),"",MAX(H400,ROUNDUP(30*((L400/C400)*(1+H400/30)-1),0)))</f>
        <v/>
      </c>
    </row>
    <row r="401" customFormat="false" ht="15" hidden="false" customHeight="false" outlineLevel="0" collapsed="false">
      <c r="A401" s="51"/>
      <c r="B401" s="54"/>
      <c r="C401" s="20"/>
      <c r="D401" s="20"/>
      <c r="E401" s="20"/>
      <c r="F401" s="20"/>
      <c r="G401" s="20"/>
      <c r="H401" s="11" t="str">
        <f aca="false">IF(B401="","",IFERROR(INDEX(Program!$H$2:$H$75,MATCH(B401,Program!$D$2:$D$75,0)),""))</f>
        <v/>
      </c>
      <c r="I401" s="11" t="str">
        <f aca="false">IF(B401="","",IFERROR(INDEX(Program!$I$2:$I$75,MATCH(B401,Program!$D$2:$D$75,0)),""))</f>
        <v/>
      </c>
      <c r="J401" s="11" t="str">
        <f aca="false">IF(COUNT(D401:G401)=0,"",COUNT(D401:G401))</f>
        <v/>
      </c>
      <c r="K401" s="12" t="str">
        <f aca="false">IF(OR(J401="",I401=""),"",IF(MIN(D401:G401)&gt;=I401,"Add load (smallest step)",IF(MAX(D401:G401)&lt;H401,"Below range: if again, drop 5–10%","Same load, add reps")))</f>
        <v/>
      </c>
      <c r="L401" s="20"/>
      <c r="M401" s="11" t="str">
        <f aca="false">IF(OR(L401="",C401="",H401="",C401=0),"",MAX(H401,ROUNDUP(30*((L401/C401)*(1+H401/30)-1),0)))</f>
        <v/>
      </c>
    </row>
    <row r="402" customFormat="false" ht="15" hidden="false" customHeight="false" outlineLevel="0" collapsed="false">
      <c r="A402" s="51"/>
      <c r="B402" s="54"/>
      <c r="C402" s="20"/>
      <c r="D402" s="20"/>
      <c r="E402" s="20"/>
      <c r="F402" s="20"/>
      <c r="G402" s="20"/>
      <c r="H402" s="11" t="str">
        <f aca="false">IF(B402="","",IFERROR(INDEX(Program!$H$2:$H$75,MATCH(B402,Program!$D$2:$D$75,0)),""))</f>
        <v/>
      </c>
      <c r="I402" s="11" t="str">
        <f aca="false">IF(B402="","",IFERROR(INDEX(Program!$I$2:$I$75,MATCH(B402,Program!$D$2:$D$75,0)),""))</f>
        <v/>
      </c>
      <c r="J402" s="11" t="str">
        <f aca="false">IF(COUNT(D402:G402)=0,"",COUNT(D402:G402))</f>
        <v/>
      </c>
      <c r="K402" s="12" t="str">
        <f aca="false">IF(OR(J402="",I402=""),"",IF(MIN(D402:G402)&gt;=I402,"Add load (smallest step)",IF(MAX(D402:G402)&lt;H402,"Below range: if again, drop 5–10%","Same load, add reps")))</f>
        <v/>
      </c>
      <c r="L402" s="20"/>
      <c r="M402" s="11" t="str">
        <f aca="false">IF(OR(L402="",C402="",H402="",C402=0),"",MAX(H402,ROUNDUP(30*((L402/C402)*(1+H402/30)-1),0)))</f>
        <v/>
      </c>
    </row>
    <row r="403" customFormat="false" ht="15" hidden="false" customHeight="false" outlineLevel="0" collapsed="false">
      <c r="A403" s="51"/>
      <c r="B403" s="54"/>
      <c r="C403" s="20"/>
      <c r="D403" s="20"/>
      <c r="E403" s="20"/>
      <c r="F403" s="20"/>
      <c r="G403" s="20"/>
      <c r="H403" s="11" t="str">
        <f aca="false">IF(B403="","",IFERROR(INDEX(Program!$H$2:$H$75,MATCH(B403,Program!$D$2:$D$75,0)),""))</f>
        <v/>
      </c>
      <c r="I403" s="11" t="str">
        <f aca="false">IF(B403="","",IFERROR(INDEX(Program!$I$2:$I$75,MATCH(B403,Program!$D$2:$D$75,0)),""))</f>
        <v/>
      </c>
      <c r="J403" s="11" t="str">
        <f aca="false">IF(COUNT(D403:G403)=0,"",COUNT(D403:G403))</f>
        <v/>
      </c>
      <c r="K403" s="12" t="str">
        <f aca="false">IF(OR(J403="",I403=""),"",IF(MIN(D403:G403)&gt;=I403,"Add load (smallest step)",IF(MAX(D403:G403)&lt;H403,"Below range: if again, drop 5–10%","Same load, add reps")))</f>
        <v/>
      </c>
      <c r="L403" s="20"/>
      <c r="M403" s="11" t="str">
        <f aca="false">IF(OR(L403="",C403="",H403="",C403=0),"",MAX(H403,ROUNDUP(30*((L403/C403)*(1+H403/30)-1),0)))</f>
        <v/>
      </c>
    </row>
    <row r="404" customFormat="false" ht="15" hidden="false" customHeight="false" outlineLevel="0" collapsed="false">
      <c r="A404" s="51"/>
      <c r="B404" s="54"/>
      <c r="C404" s="20"/>
      <c r="D404" s="20"/>
      <c r="E404" s="20"/>
      <c r="F404" s="20"/>
      <c r="G404" s="20"/>
      <c r="H404" s="11" t="str">
        <f aca="false">IF(B404="","",IFERROR(INDEX(Program!$H$2:$H$75,MATCH(B404,Program!$D$2:$D$75,0)),""))</f>
        <v/>
      </c>
      <c r="I404" s="11" t="str">
        <f aca="false">IF(B404="","",IFERROR(INDEX(Program!$I$2:$I$75,MATCH(B404,Program!$D$2:$D$75,0)),""))</f>
        <v/>
      </c>
      <c r="J404" s="11" t="str">
        <f aca="false">IF(COUNT(D404:G404)=0,"",COUNT(D404:G404))</f>
        <v/>
      </c>
      <c r="K404" s="12" t="str">
        <f aca="false">IF(OR(J404="",I404=""),"",IF(MIN(D404:G404)&gt;=I404,"Add load (smallest step)",IF(MAX(D404:G404)&lt;H404,"Below range: if again, drop 5–10%","Same load, add reps")))</f>
        <v/>
      </c>
      <c r="L404" s="20"/>
      <c r="M404" s="11" t="str">
        <f aca="false">IF(OR(L404="",C404="",H404="",C404=0),"",MAX(H404,ROUNDUP(30*((L404/C404)*(1+H404/30)-1),0)))</f>
        <v/>
      </c>
    </row>
    <row r="405" customFormat="false" ht="15" hidden="false" customHeight="false" outlineLevel="0" collapsed="false">
      <c r="A405" s="51"/>
      <c r="B405" s="54"/>
      <c r="C405" s="20"/>
      <c r="D405" s="20"/>
      <c r="E405" s="20"/>
      <c r="F405" s="20"/>
      <c r="G405" s="20"/>
      <c r="H405" s="11" t="str">
        <f aca="false">IF(B405="","",IFERROR(INDEX(Program!$H$2:$H$75,MATCH(B405,Program!$D$2:$D$75,0)),""))</f>
        <v/>
      </c>
      <c r="I405" s="11" t="str">
        <f aca="false">IF(B405="","",IFERROR(INDEX(Program!$I$2:$I$75,MATCH(B405,Program!$D$2:$D$75,0)),""))</f>
        <v/>
      </c>
      <c r="J405" s="11" t="str">
        <f aca="false">IF(COUNT(D405:G405)=0,"",COUNT(D405:G405))</f>
        <v/>
      </c>
      <c r="K405" s="12" t="str">
        <f aca="false">IF(OR(J405="",I405=""),"",IF(MIN(D405:G405)&gt;=I405,"Add load (smallest step)",IF(MAX(D405:G405)&lt;H405,"Below range: if again, drop 5–10%","Same load, add reps")))</f>
        <v/>
      </c>
      <c r="L405" s="20"/>
      <c r="M405" s="11" t="str">
        <f aca="false">IF(OR(L405="",C405="",H405="",C405=0),"",MAX(H405,ROUNDUP(30*((L405/C405)*(1+H405/30)-1),0)))</f>
        <v/>
      </c>
    </row>
    <row r="406" customFormat="false" ht="15" hidden="false" customHeight="false" outlineLevel="0" collapsed="false">
      <c r="A406" s="51"/>
      <c r="B406" s="54"/>
      <c r="C406" s="20"/>
      <c r="D406" s="20"/>
      <c r="E406" s="20"/>
      <c r="F406" s="20"/>
      <c r="G406" s="20"/>
      <c r="H406" s="11" t="str">
        <f aca="false">IF(B406="","",IFERROR(INDEX(Program!$H$2:$H$75,MATCH(B406,Program!$D$2:$D$75,0)),""))</f>
        <v/>
      </c>
      <c r="I406" s="11" t="str">
        <f aca="false">IF(B406="","",IFERROR(INDEX(Program!$I$2:$I$75,MATCH(B406,Program!$D$2:$D$75,0)),""))</f>
        <v/>
      </c>
      <c r="J406" s="11" t="str">
        <f aca="false">IF(COUNT(D406:G406)=0,"",COUNT(D406:G406))</f>
        <v/>
      </c>
      <c r="K406" s="12" t="str">
        <f aca="false">IF(OR(J406="",I406=""),"",IF(MIN(D406:G406)&gt;=I406,"Add load (smallest step)",IF(MAX(D406:G406)&lt;H406,"Below range: if again, drop 5–10%","Same load, add reps")))</f>
        <v/>
      </c>
      <c r="L406" s="20"/>
      <c r="M406" s="11" t="str">
        <f aca="false">IF(OR(L406="",C406="",H406="",C406=0),"",MAX(H406,ROUNDUP(30*((L406/C406)*(1+H406/30)-1),0)))</f>
        <v/>
      </c>
    </row>
    <row r="407" customFormat="false" ht="15" hidden="false" customHeight="false" outlineLevel="0" collapsed="false">
      <c r="A407" s="51"/>
      <c r="B407" s="54"/>
      <c r="C407" s="20"/>
      <c r="D407" s="20"/>
      <c r="E407" s="20"/>
      <c r="F407" s="20"/>
      <c r="G407" s="20"/>
      <c r="H407" s="11" t="str">
        <f aca="false">IF(B407="","",IFERROR(INDEX(Program!$H$2:$H$75,MATCH(B407,Program!$D$2:$D$75,0)),""))</f>
        <v/>
      </c>
      <c r="I407" s="11" t="str">
        <f aca="false">IF(B407="","",IFERROR(INDEX(Program!$I$2:$I$75,MATCH(B407,Program!$D$2:$D$75,0)),""))</f>
        <v/>
      </c>
      <c r="J407" s="11" t="str">
        <f aca="false">IF(COUNT(D407:G407)=0,"",COUNT(D407:G407))</f>
        <v/>
      </c>
      <c r="K407" s="12" t="str">
        <f aca="false">IF(OR(J407="",I407=""),"",IF(MIN(D407:G407)&gt;=I407,"Add load (smallest step)",IF(MAX(D407:G407)&lt;H407,"Below range: if again, drop 5–10%","Same load, add reps")))</f>
        <v/>
      </c>
      <c r="L407" s="20"/>
      <c r="M407" s="11" t="str">
        <f aca="false">IF(OR(L407="",C407="",H407="",C407=0),"",MAX(H407,ROUNDUP(30*((L407/C407)*(1+H407/30)-1),0)))</f>
        <v/>
      </c>
    </row>
    <row r="408" customFormat="false" ht="15" hidden="false" customHeight="false" outlineLevel="0" collapsed="false">
      <c r="A408" s="51"/>
      <c r="B408" s="54"/>
      <c r="C408" s="20"/>
      <c r="D408" s="20"/>
      <c r="E408" s="20"/>
      <c r="F408" s="20"/>
      <c r="G408" s="20"/>
      <c r="H408" s="11" t="str">
        <f aca="false">IF(B408="","",IFERROR(INDEX(Program!$H$2:$H$75,MATCH(B408,Program!$D$2:$D$75,0)),""))</f>
        <v/>
      </c>
      <c r="I408" s="11" t="str">
        <f aca="false">IF(B408="","",IFERROR(INDEX(Program!$I$2:$I$75,MATCH(B408,Program!$D$2:$D$75,0)),""))</f>
        <v/>
      </c>
      <c r="J408" s="11" t="str">
        <f aca="false">IF(COUNT(D408:G408)=0,"",COUNT(D408:G408))</f>
        <v/>
      </c>
      <c r="K408" s="12" t="str">
        <f aca="false">IF(OR(J408="",I408=""),"",IF(MIN(D408:G408)&gt;=I408,"Add load (smallest step)",IF(MAX(D408:G408)&lt;H408,"Below range: if again, drop 5–10%","Same load, add reps")))</f>
        <v/>
      </c>
      <c r="L408" s="20"/>
      <c r="M408" s="11" t="str">
        <f aca="false">IF(OR(L408="",C408="",H408="",C408=0),"",MAX(H408,ROUNDUP(30*((L408/C408)*(1+H408/30)-1),0)))</f>
        <v/>
      </c>
    </row>
    <row r="409" customFormat="false" ht="15" hidden="false" customHeight="false" outlineLevel="0" collapsed="false">
      <c r="A409" s="51"/>
      <c r="B409" s="54"/>
      <c r="C409" s="20"/>
      <c r="D409" s="20"/>
      <c r="E409" s="20"/>
      <c r="F409" s="20"/>
      <c r="G409" s="20"/>
      <c r="H409" s="11" t="str">
        <f aca="false">IF(B409="","",IFERROR(INDEX(Program!$H$2:$H$75,MATCH(B409,Program!$D$2:$D$75,0)),""))</f>
        <v/>
      </c>
      <c r="I409" s="11" t="str">
        <f aca="false">IF(B409="","",IFERROR(INDEX(Program!$I$2:$I$75,MATCH(B409,Program!$D$2:$D$75,0)),""))</f>
        <v/>
      </c>
      <c r="J409" s="11" t="str">
        <f aca="false">IF(COUNT(D409:G409)=0,"",COUNT(D409:G409))</f>
        <v/>
      </c>
      <c r="K409" s="12" t="str">
        <f aca="false">IF(OR(J409="",I409=""),"",IF(MIN(D409:G409)&gt;=I409,"Add load (smallest step)",IF(MAX(D409:G409)&lt;H409,"Below range: if again, drop 5–10%","Same load, add reps")))</f>
        <v/>
      </c>
      <c r="L409" s="20"/>
      <c r="M409" s="11" t="str">
        <f aca="false">IF(OR(L409="",C409="",H409="",C409=0),"",MAX(H409,ROUNDUP(30*((L409/C409)*(1+H409/30)-1),0)))</f>
        <v/>
      </c>
    </row>
    <row r="410" customFormat="false" ht="15" hidden="false" customHeight="false" outlineLevel="0" collapsed="false">
      <c r="A410" s="51"/>
      <c r="B410" s="54"/>
      <c r="C410" s="20"/>
      <c r="D410" s="20"/>
      <c r="E410" s="20"/>
      <c r="F410" s="20"/>
      <c r="G410" s="20"/>
      <c r="H410" s="11" t="str">
        <f aca="false">IF(B410="","",IFERROR(INDEX(Program!$H$2:$H$75,MATCH(B410,Program!$D$2:$D$75,0)),""))</f>
        <v/>
      </c>
      <c r="I410" s="11" t="str">
        <f aca="false">IF(B410="","",IFERROR(INDEX(Program!$I$2:$I$75,MATCH(B410,Program!$D$2:$D$75,0)),""))</f>
        <v/>
      </c>
      <c r="J410" s="11" t="str">
        <f aca="false">IF(COUNT(D410:G410)=0,"",COUNT(D410:G410))</f>
        <v/>
      </c>
      <c r="K410" s="12" t="str">
        <f aca="false">IF(OR(J410="",I410=""),"",IF(MIN(D410:G410)&gt;=I410,"Add load (smallest step)",IF(MAX(D410:G410)&lt;H410,"Below range: if again, drop 5–10%","Same load, add reps")))</f>
        <v/>
      </c>
      <c r="L410" s="20"/>
      <c r="M410" s="11" t="str">
        <f aca="false">IF(OR(L410="",C410="",H410="",C410=0),"",MAX(H410,ROUNDUP(30*((L410/C410)*(1+H410/30)-1),0)))</f>
        <v/>
      </c>
    </row>
    <row r="411" customFormat="false" ht="15" hidden="false" customHeight="false" outlineLevel="0" collapsed="false">
      <c r="A411" s="51"/>
      <c r="B411" s="54"/>
      <c r="C411" s="20"/>
      <c r="D411" s="20"/>
      <c r="E411" s="20"/>
      <c r="F411" s="20"/>
      <c r="G411" s="20"/>
      <c r="H411" s="11" t="str">
        <f aca="false">IF(B411="","",IFERROR(INDEX(Program!$H$2:$H$75,MATCH(B411,Program!$D$2:$D$75,0)),""))</f>
        <v/>
      </c>
      <c r="I411" s="11" t="str">
        <f aca="false">IF(B411="","",IFERROR(INDEX(Program!$I$2:$I$75,MATCH(B411,Program!$D$2:$D$75,0)),""))</f>
        <v/>
      </c>
      <c r="J411" s="11" t="str">
        <f aca="false">IF(COUNT(D411:G411)=0,"",COUNT(D411:G411))</f>
        <v/>
      </c>
      <c r="K411" s="12" t="str">
        <f aca="false">IF(OR(J411="",I411=""),"",IF(MIN(D411:G411)&gt;=I411,"Add load (smallest step)",IF(MAX(D411:G411)&lt;H411,"Below range: if again, drop 5–10%","Same load, add reps")))</f>
        <v/>
      </c>
      <c r="L411" s="20"/>
      <c r="M411" s="11" t="str">
        <f aca="false">IF(OR(L411="",C411="",H411="",C411=0),"",MAX(H411,ROUNDUP(30*((L411/C411)*(1+H411/30)-1),0)))</f>
        <v/>
      </c>
    </row>
    <row r="412" customFormat="false" ht="15" hidden="false" customHeight="false" outlineLevel="0" collapsed="false">
      <c r="A412" s="51"/>
      <c r="B412" s="54"/>
      <c r="C412" s="20"/>
      <c r="D412" s="20"/>
      <c r="E412" s="20"/>
      <c r="F412" s="20"/>
      <c r="G412" s="20"/>
      <c r="H412" s="11" t="str">
        <f aca="false">IF(B412="","",IFERROR(INDEX(Program!$H$2:$H$75,MATCH(B412,Program!$D$2:$D$75,0)),""))</f>
        <v/>
      </c>
      <c r="I412" s="11" t="str">
        <f aca="false">IF(B412="","",IFERROR(INDEX(Program!$I$2:$I$75,MATCH(B412,Program!$D$2:$D$75,0)),""))</f>
        <v/>
      </c>
      <c r="J412" s="11" t="str">
        <f aca="false">IF(COUNT(D412:G412)=0,"",COUNT(D412:G412))</f>
        <v/>
      </c>
      <c r="K412" s="12" t="str">
        <f aca="false">IF(OR(J412="",I412=""),"",IF(MIN(D412:G412)&gt;=I412,"Add load (smallest step)",IF(MAX(D412:G412)&lt;H412,"Below range: if again, drop 5–10%","Same load, add reps")))</f>
        <v/>
      </c>
      <c r="L412" s="20"/>
      <c r="M412" s="11" t="str">
        <f aca="false">IF(OR(L412="",C412="",H412="",C412=0),"",MAX(H412,ROUNDUP(30*((L412/C412)*(1+H412/30)-1),0)))</f>
        <v/>
      </c>
    </row>
    <row r="413" customFormat="false" ht="15" hidden="false" customHeight="false" outlineLevel="0" collapsed="false">
      <c r="A413" s="51"/>
      <c r="B413" s="54"/>
      <c r="C413" s="20"/>
      <c r="D413" s="20"/>
      <c r="E413" s="20"/>
      <c r="F413" s="20"/>
      <c r="G413" s="20"/>
      <c r="H413" s="11" t="str">
        <f aca="false">IF(B413="","",IFERROR(INDEX(Program!$H$2:$H$75,MATCH(B413,Program!$D$2:$D$75,0)),""))</f>
        <v/>
      </c>
      <c r="I413" s="11" t="str">
        <f aca="false">IF(B413="","",IFERROR(INDEX(Program!$I$2:$I$75,MATCH(B413,Program!$D$2:$D$75,0)),""))</f>
        <v/>
      </c>
      <c r="J413" s="11" t="str">
        <f aca="false">IF(COUNT(D413:G413)=0,"",COUNT(D413:G413))</f>
        <v/>
      </c>
      <c r="K413" s="12" t="str">
        <f aca="false">IF(OR(J413="",I413=""),"",IF(MIN(D413:G413)&gt;=I413,"Add load (smallest step)",IF(MAX(D413:G413)&lt;H413,"Below range: if again, drop 5–10%","Same load, add reps")))</f>
        <v/>
      </c>
      <c r="L413" s="20"/>
      <c r="M413" s="11" t="str">
        <f aca="false">IF(OR(L413="",C413="",H413="",C413=0),"",MAX(H413,ROUNDUP(30*((L413/C413)*(1+H413/30)-1),0)))</f>
        <v/>
      </c>
    </row>
    <row r="414" customFormat="false" ht="15" hidden="false" customHeight="false" outlineLevel="0" collapsed="false">
      <c r="A414" s="51"/>
      <c r="B414" s="54"/>
      <c r="C414" s="20"/>
      <c r="D414" s="20"/>
      <c r="E414" s="20"/>
      <c r="F414" s="20"/>
      <c r="G414" s="20"/>
      <c r="H414" s="11" t="str">
        <f aca="false">IF(B414="","",IFERROR(INDEX(Program!$H$2:$H$75,MATCH(B414,Program!$D$2:$D$75,0)),""))</f>
        <v/>
      </c>
      <c r="I414" s="11" t="str">
        <f aca="false">IF(B414="","",IFERROR(INDEX(Program!$I$2:$I$75,MATCH(B414,Program!$D$2:$D$75,0)),""))</f>
        <v/>
      </c>
      <c r="J414" s="11" t="str">
        <f aca="false">IF(COUNT(D414:G414)=0,"",COUNT(D414:G414))</f>
        <v/>
      </c>
      <c r="K414" s="12" t="str">
        <f aca="false">IF(OR(J414="",I414=""),"",IF(MIN(D414:G414)&gt;=I414,"Add load (smallest step)",IF(MAX(D414:G414)&lt;H414,"Below range: if again, drop 5–10%","Same load, add reps")))</f>
        <v/>
      </c>
      <c r="L414" s="20"/>
      <c r="M414" s="11" t="str">
        <f aca="false">IF(OR(L414="",C414="",H414="",C414=0),"",MAX(H414,ROUNDUP(30*((L414/C414)*(1+H414/30)-1),0)))</f>
        <v/>
      </c>
    </row>
    <row r="415" customFormat="false" ht="15" hidden="false" customHeight="false" outlineLevel="0" collapsed="false">
      <c r="A415" s="51"/>
      <c r="B415" s="54"/>
      <c r="C415" s="20"/>
      <c r="D415" s="20"/>
      <c r="E415" s="20"/>
      <c r="F415" s="20"/>
      <c r="G415" s="20"/>
      <c r="H415" s="11" t="str">
        <f aca="false">IF(B415="","",IFERROR(INDEX(Program!$H$2:$H$75,MATCH(B415,Program!$D$2:$D$75,0)),""))</f>
        <v/>
      </c>
      <c r="I415" s="11" t="str">
        <f aca="false">IF(B415="","",IFERROR(INDEX(Program!$I$2:$I$75,MATCH(B415,Program!$D$2:$D$75,0)),""))</f>
        <v/>
      </c>
      <c r="J415" s="11" t="str">
        <f aca="false">IF(COUNT(D415:G415)=0,"",COUNT(D415:G415))</f>
        <v/>
      </c>
      <c r="K415" s="12" t="str">
        <f aca="false">IF(OR(J415="",I415=""),"",IF(MIN(D415:G415)&gt;=I415,"Add load (smallest step)",IF(MAX(D415:G415)&lt;H415,"Below range: if again, drop 5–10%","Same load, add reps")))</f>
        <v/>
      </c>
      <c r="L415" s="20"/>
      <c r="M415" s="11" t="str">
        <f aca="false">IF(OR(L415="",C415="",H415="",C415=0),"",MAX(H415,ROUNDUP(30*((L415/C415)*(1+H415/30)-1),0)))</f>
        <v/>
      </c>
    </row>
    <row r="416" customFormat="false" ht="15" hidden="false" customHeight="false" outlineLevel="0" collapsed="false">
      <c r="A416" s="51"/>
      <c r="B416" s="54"/>
      <c r="C416" s="20"/>
      <c r="D416" s="20"/>
      <c r="E416" s="20"/>
      <c r="F416" s="20"/>
      <c r="G416" s="20"/>
      <c r="H416" s="11" t="str">
        <f aca="false">IF(B416="","",IFERROR(INDEX(Program!$H$2:$H$75,MATCH(B416,Program!$D$2:$D$75,0)),""))</f>
        <v/>
      </c>
      <c r="I416" s="11" t="str">
        <f aca="false">IF(B416="","",IFERROR(INDEX(Program!$I$2:$I$75,MATCH(B416,Program!$D$2:$D$75,0)),""))</f>
        <v/>
      </c>
      <c r="J416" s="11" t="str">
        <f aca="false">IF(COUNT(D416:G416)=0,"",COUNT(D416:G416))</f>
        <v/>
      </c>
      <c r="K416" s="12" t="str">
        <f aca="false">IF(OR(J416="",I416=""),"",IF(MIN(D416:G416)&gt;=I416,"Add load (smallest step)",IF(MAX(D416:G416)&lt;H416,"Below range: if again, drop 5–10%","Same load, add reps")))</f>
        <v/>
      </c>
      <c r="L416" s="20"/>
      <c r="M416" s="11" t="str">
        <f aca="false">IF(OR(L416="",C416="",H416="",C416=0),"",MAX(H416,ROUNDUP(30*((L416/C416)*(1+H416/30)-1),0)))</f>
        <v/>
      </c>
    </row>
    <row r="417" customFormat="false" ht="15" hidden="false" customHeight="false" outlineLevel="0" collapsed="false">
      <c r="A417" s="51"/>
      <c r="B417" s="54"/>
      <c r="C417" s="20"/>
      <c r="D417" s="20"/>
      <c r="E417" s="20"/>
      <c r="F417" s="20"/>
      <c r="G417" s="20"/>
      <c r="H417" s="11" t="str">
        <f aca="false">IF(B417="","",IFERROR(INDEX(Program!$H$2:$H$75,MATCH(B417,Program!$D$2:$D$75,0)),""))</f>
        <v/>
      </c>
      <c r="I417" s="11" t="str">
        <f aca="false">IF(B417="","",IFERROR(INDEX(Program!$I$2:$I$75,MATCH(B417,Program!$D$2:$D$75,0)),""))</f>
        <v/>
      </c>
      <c r="J417" s="11" t="str">
        <f aca="false">IF(COUNT(D417:G417)=0,"",COUNT(D417:G417))</f>
        <v/>
      </c>
      <c r="K417" s="12" t="str">
        <f aca="false">IF(OR(J417="",I417=""),"",IF(MIN(D417:G417)&gt;=I417,"Add load (smallest step)",IF(MAX(D417:G417)&lt;H417,"Below range: if again, drop 5–10%","Same load, add reps")))</f>
        <v/>
      </c>
      <c r="L417" s="20"/>
      <c r="M417" s="11" t="str">
        <f aca="false">IF(OR(L417="",C417="",H417="",C417=0),"",MAX(H417,ROUNDUP(30*((L417/C417)*(1+H417/30)-1),0)))</f>
        <v/>
      </c>
    </row>
    <row r="418" customFormat="false" ht="15" hidden="false" customHeight="false" outlineLevel="0" collapsed="false">
      <c r="A418" s="51"/>
      <c r="B418" s="54"/>
      <c r="C418" s="20"/>
      <c r="D418" s="20"/>
      <c r="E418" s="20"/>
      <c r="F418" s="20"/>
      <c r="G418" s="20"/>
      <c r="H418" s="11" t="str">
        <f aca="false">IF(B418="","",IFERROR(INDEX(Program!$H$2:$H$75,MATCH(B418,Program!$D$2:$D$75,0)),""))</f>
        <v/>
      </c>
      <c r="I418" s="11" t="str">
        <f aca="false">IF(B418="","",IFERROR(INDEX(Program!$I$2:$I$75,MATCH(B418,Program!$D$2:$D$75,0)),""))</f>
        <v/>
      </c>
      <c r="J418" s="11" t="str">
        <f aca="false">IF(COUNT(D418:G418)=0,"",COUNT(D418:G418))</f>
        <v/>
      </c>
      <c r="K418" s="12" t="str">
        <f aca="false">IF(OR(J418="",I418=""),"",IF(MIN(D418:G418)&gt;=I418,"Add load (smallest step)",IF(MAX(D418:G418)&lt;H418,"Below range: if again, drop 5–10%","Same load, add reps")))</f>
        <v/>
      </c>
      <c r="L418" s="20"/>
      <c r="M418" s="11" t="str">
        <f aca="false">IF(OR(L418="",C418="",H418="",C418=0),"",MAX(H418,ROUNDUP(30*((L418/C418)*(1+H418/30)-1),0)))</f>
        <v/>
      </c>
    </row>
    <row r="419" customFormat="false" ht="15" hidden="false" customHeight="false" outlineLevel="0" collapsed="false">
      <c r="A419" s="51"/>
      <c r="B419" s="54"/>
      <c r="C419" s="20"/>
      <c r="D419" s="20"/>
      <c r="E419" s="20"/>
      <c r="F419" s="20"/>
      <c r="G419" s="20"/>
      <c r="H419" s="11" t="str">
        <f aca="false">IF(B419="","",IFERROR(INDEX(Program!$H$2:$H$75,MATCH(B419,Program!$D$2:$D$75,0)),""))</f>
        <v/>
      </c>
      <c r="I419" s="11" t="str">
        <f aca="false">IF(B419="","",IFERROR(INDEX(Program!$I$2:$I$75,MATCH(B419,Program!$D$2:$D$75,0)),""))</f>
        <v/>
      </c>
      <c r="J419" s="11" t="str">
        <f aca="false">IF(COUNT(D419:G419)=0,"",COUNT(D419:G419))</f>
        <v/>
      </c>
      <c r="K419" s="12" t="str">
        <f aca="false">IF(OR(J419="",I419=""),"",IF(MIN(D419:G419)&gt;=I419,"Add load (smallest step)",IF(MAX(D419:G419)&lt;H419,"Below range: if again, drop 5–10%","Same load, add reps")))</f>
        <v/>
      </c>
      <c r="L419" s="20"/>
      <c r="M419" s="11" t="str">
        <f aca="false">IF(OR(L419="",C419="",H419="",C419=0),"",MAX(H419,ROUNDUP(30*((L419/C419)*(1+H419/30)-1),0)))</f>
        <v/>
      </c>
    </row>
    <row r="420" customFormat="false" ht="15" hidden="false" customHeight="false" outlineLevel="0" collapsed="false">
      <c r="A420" s="51"/>
      <c r="B420" s="54"/>
      <c r="C420" s="20"/>
      <c r="D420" s="20"/>
      <c r="E420" s="20"/>
      <c r="F420" s="20"/>
      <c r="G420" s="20"/>
      <c r="H420" s="11" t="str">
        <f aca="false">IF(B420="","",IFERROR(INDEX(Program!$H$2:$H$75,MATCH(B420,Program!$D$2:$D$75,0)),""))</f>
        <v/>
      </c>
      <c r="I420" s="11" t="str">
        <f aca="false">IF(B420="","",IFERROR(INDEX(Program!$I$2:$I$75,MATCH(B420,Program!$D$2:$D$75,0)),""))</f>
        <v/>
      </c>
      <c r="J420" s="11" t="str">
        <f aca="false">IF(COUNT(D420:G420)=0,"",COUNT(D420:G420))</f>
        <v/>
      </c>
      <c r="K420" s="12" t="str">
        <f aca="false">IF(OR(J420="",I420=""),"",IF(MIN(D420:G420)&gt;=I420,"Add load (smallest step)",IF(MAX(D420:G420)&lt;H420,"Below range: if again, drop 5–10%","Same load, add reps")))</f>
        <v/>
      </c>
      <c r="L420" s="20"/>
      <c r="M420" s="11" t="str">
        <f aca="false">IF(OR(L420="",C420="",H420="",C420=0),"",MAX(H420,ROUNDUP(30*((L420/C420)*(1+H420/30)-1),0)))</f>
        <v/>
      </c>
    </row>
    <row r="421" customFormat="false" ht="15" hidden="false" customHeight="false" outlineLevel="0" collapsed="false">
      <c r="A421" s="51"/>
      <c r="B421" s="54"/>
      <c r="C421" s="20"/>
      <c r="D421" s="20"/>
      <c r="E421" s="20"/>
      <c r="F421" s="20"/>
      <c r="G421" s="20"/>
      <c r="H421" s="11" t="str">
        <f aca="false">IF(B421="","",IFERROR(INDEX(Program!$H$2:$H$75,MATCH(B421,Program!$D$2:$D$75,0)),""))</f>
        <v/>
      </c>
      <c r="I421" s="11" t="str">
        <f aca="false">IF(B421="","",IFERROR(INDEX(Program!$I$2:$I$75,MATCH(B421,Program!$D$2:$D$75,0)),""))</f>
        <v/>
      </c>
      <c r="J421" s="11" t="str">
        <f aca="false">IF(COUNT(D421:G421)=0,"",COUNT(D421:G421))</f>
        <v/>
      </c>
      <c r="K421" s="12" t="str">
        <f aca="false">IF(OR(J421="",I421=""),"",IF(MIN(D421:G421)&gt;=I421,"Add load (smallest step)",IF(MAX(D421:G421)&lt;H421,"Below range: if again, drop 5–10%","Same load, add reps")))</f>
        <v/>
      </c>
      <c r="L421" s="20"/>
      <c r="M421" s="11" t="str">
        <f aca="false">IF(OR(L421="",C421="",H421="",C421=0),"",MAX(H421,ROUNDUP(30*((L421/C421)*(1+H421/30)-1),0)))</f>
        <v/>
      </c>
    </row>
    <row r="422" customFormat="false" ht="15" hidden="false" customHeight="false" outlineLevel="0" collapsed="false">
      <c r="A422" s="51"/>
      <c r="B422" s="54"/>
      <c r="C422" s="20"/>
      <c r="D422" s="20"/>
      <c r="E422" s="20"/>
      <c r="F422" s="20"/>
      <c r="G422" s="20"/>
      <c r="H422" s="11" t="str">
        <f aca="false">IF(B422="","",IFERROR(INDEX(Program!$H$2:$H$75,MATCH(B422,Program!$D$2:$D$75,0)),""))</f>
        <v/>
      </c>
      <c r="I422" s="11" t="str">
        <f aca="false">IF(B422="","",IFERROR(INDEX(Program!$I$2:$I$75,MATCH(B422,Program!$D$2:$D$75,0)),""))</f>
        <v/>
      </c>
      <c r="J422" s="11" t="str">
        <f aca="false">IF(COUNT(D422:G422)=0,"",COUNT(D422:G422))</f>
        <v/>
      </c>
      <c r="K422" s="12" t="str">
        <f aca="false">IF(OR(J422="",I422=""),"",IF(MIN(D422:G422)&gt;=I422,"Add load (smallest step)",IF(MAX(D422:G422)&lt;H422,"Below range: if again, drop 5–10%","Same load, add reps")))</f>
        <v/>
      </c>
      <c r="L422" s="20"/>
      <c r="M422" s="11" t="str">
        <f aca="false">IF(OR(L422="",C422="",H422="",C422=0),"",MAX(H422,ROUNDUP(30*((L422/C422)*(1+H422/30)-1),0)))</f>
        <v/>
      </c>
    </row>
    <row r="423" customFormat="false" ht="15" hidden="false" customHeight="false" outlineLevel="0" collapsed="false">
      <c r="A423" s="51"/>
      <c r="B423" s="54"/>
      <c r="C423" s="20"/>
      <c r="D423" s="20"/>
      <c r="E423" s="20"/>
      <c r="F423" s="20"/>
      <c r="G423" s="20"/>
      <c r="H423" s="11" t="str">
        <f aca="false">IF(B423="","",IFERROR(INDEX(Program!$H$2:$H$75,MATCH(B423,Program!$D$2:$D$75,0)),""))</f>
        <v/>
      </c>
      <c r="I423" s="11" t="str">
        <f aca="false">IF(B423="","",IFERROR(INDEX(Program!$I$2:$I$75,MATCH(B423,Program!$D$2:$D$75,0)),""))</f>
        <v/>
      </c>
      <c r="J423" s="11" t="str">
        <f aca="false">IF(COUNT(D423:G423)=0,"",COUNT(D423:G423))</f>
        <v/>
      </c>
      <c r="K423" s="12" t="str">
        <f aca="false">IF(OR(J423="",I423=""),"",IF(MIN(D423:G423)&gt;=I423,"Add load (smallest step)",IF(MAX(D423:G423)&lt;H423,"Below range: if again, drop 5–10%","Same load, add reps")))</f>
        <v/>
      </c>
      <c r="L423" s="20"/>
      <c r="M423" s="11" t="str">
        <f aca="false">IF(OR(L423="",C423="",H423="",C423=0),"",MAX(H423,ROUNDUP(30*((L423/C423)*(1+H423/30)-1),0)))</f>
        <v/>
      </c>
    </row>
    <row r="424" customFormat="false" ht="15" hidden="false" customHeight="false" outlineLevel="0" collapsed="false">
      <c r="A424" s="51"/>
      <c r="B424" s="54"/>
      <c r="C424" s="20"/>
      <c r="D424" s="20"/>
      <c r="E424" s="20"/>
      <c r="F424" s="20"/>
      <c r="G424" s="20"/>
      <c r="H424" s="11" t="str">
        <f aca="false">IF(B424="","",IFERROR(INDEX(Program!$H$2:$H$75,MATCH(B424,Program!$D$2:$D$75,0)),""))</f>
        <v/>
      </c>
      <c r="I424" s="11" t="str">
        <f aca="false">IF(B424="","",IFERROR(INDEX(Program!$I$2:$I$75,MATCH(B424,Program!$D$2:$D$75,0)),""))</f>
        <v/>
      </c>
      <c r="J424" s="11" t="str">
        <f aca="false">IF(COUNT(D424:G424)=0,"",COUNT(D424:G424))</f>
        <v/>
      </c>
      <c r="K424" s="12" t="str">
        <f aca="false">IF(OR(J424="",I424=""),"",IF(MIN(D424:G424)&gt;=I424,"Add load (smallest step)",IF(MAX(D424:G424)&lt;H424,"Below range: if again, drop 5–10%","Same load, add reps")))</f>
        <v/>
      </c>
      <c r="L424" s="20"/>
      <c r="M424" s="11" t="str">
        <f aca="false">IF(OR(L424="",C424="",H424="",C424=0),"",MAX(H424,ROUNDUP(30*((L424/C424)*(1+H424/30)-1),0)))</f>
        <v/>
      </c>
    </row>
    <row r="425" customFormat="false" ht="15" hidden="false" customHeight="false" outlineLevel="0" collapsed="false">
      <c r="A425" s="51"/>
      <c r="B425" s="54"/>
      <c r="C425" s="20"/>
      <c r="D425" s="20"/>
      <c r="E425" s="20"/>
      <c r="F425" s="20"/>
      <c r="G425" s="20"/>
      <c r="H425" s="11" t="str">
        <f aca="false">IF(B425="","",IFERROR(INDEX(Program!$H$2:$H$75,MATCH(B425,Program!$D$2:$D$75,0)),""))</f>
        <v/>
      </c>
      <c r="I425" s="11" t="str">
        <f aca="false">IF(B425="","",IFERROR(INDEX(Program!$I$2:$I$75,MATCH(B425,Program!$D$2:$D$75,0)),""))</f>
        <v/>
      </c>
      <c r="J425" s="11" t="str">
        <f aca="false">IF(COUNT(D425:G425)=0,"",COUNT(D425:G425))</f>
        <v/>
      </c>
      <c r="K425" s="12" t="str">
        <f aca="false">IF(OR(J425="",I425=""),"",IF(MIN(D425:G425)&gt;=I425,"Add load (smallest step)",IF(MAX(D425:G425)&lt;H425,"Below range: if again, drop 5–10%","Same load, add reps")))</f>
        <v/>
      </c>
      <c r="L425" s="20"/>
      <c r="M425" s="11" t="str">
        <f aca="false">IF(OR(L425="",C425="",H425="",C425=0),"",MAX(H425,ROUNDUP(30*((L425/C425)*(1+H425/30)-1),0)))</f>
        <v/>
      </c>
    </row>
    <row r="426" customFormat="false" ht="15" hidden="false" customHeight="false" outlineLevel="0" collapsed="false">
      <c r="A426" s="51"/>
      <c r="B426" s="54"/>
      <c r="C426" s="20"/>
      <c r="D426" s="20"/>
      <c r="E426" s="20"/>
      <c r="F426" s="20"/>
      <c r="G426" s="20"/>
      <c r="H426" s="11" t="str">
        <f aca="false">IF(B426="","",IFERROR(INDEX(Program!$H$2:$H$75,MATCH(B426,Program!$D$2:$D$75,0)),""))</f>
        <v/>
      </c>
      <c r="I426" s="11" t="str">
        <f aca="false">IF(B426="","",IFERROR(INDEX(Program!$I$2:$I$75,MATCH(B426,Program!$D$2:$D$75,0)),""))</f>
        <v/>
      </c>
      <c r="J426" s="11" t="str">
        <f aca="false">IF(COUNT(D426:G426)=0,"",COUNT(D426:G426))</f>
        <v/>
      </c>
      <c r="K426" s="12" t="str">
        <f aca="false">IF(OR(J426="",I426=""),"",IF(MIN(D426:G426)&gt;=I426,"Add load (smallest step)",IF(MAX(D426:G426)&lt;H426,"Below range: if again, drop 5–10%","Same load, add reps")))</f>
        <v/>
      </c>
      <c r="L426" s="20"/>
      <c r="M426" s="11" t="str">
        <f aca="false">IF(OR(L426="",C426="",H426="",C426=0),"",MAX(H426,ROUNDUP(30*((L426/C426)*(1+H426/30)-1),0)))</f>
        <v/>
      </c>
    </row>
    <row r="427" customFormat="false" ht="15" hidden="false" customHeight="false" outlineLevel="0" collapsed="false">
      <c r="A427" s="51"/>
      <c r="B427" s="54"/>
      <c r="C427" s="20"/>
      <c r="D427" s="20"/>
      <c r="E427" s="20"/>
      <c r="F427" s="20"/>
      <c r="G427" s="20"/>
      <c r="H427" s="11" t="str">
        <f aca="false">IF(B427="","",IFERROR(INDEX(Program!$H$2:$H$75,MATCH(B427,Program!$D$2:$D$75,0)),""))</f>
        <v/>
      </c>
      <c r="I427" s="11" t="str">
        <f aca="false">IF(B427="","",IFERROR(INDEX(Program!$I$2:$I$75,MATCH(B427,Program!$D$2:$D$75,0)),""))</f>
        <v/>
      </c>
      <c r="J427" s="11" t="str">
        <f aca="false">IF(COUNT(D427:G427)=0,"",COUNT(D427:G427))</f>
        <v/>
      </c>
      <c r="K427" s="12" t="str">
        <f aca="false">IF(OR(J427="",I427=""),"",IF(MIN(D427:G427)&gt;=I427,"Add load (smallest step)",IF(MAX(D427:G427)&lt;H427,"Below range: if again, drop 5–10%","Same load, add reps")))</f>
        <v/>
      </c>
      <c r="L427" s="20"/>
      <c r="M427" s="11" t="str">
        <f aca="false">IF(OR(L427="",C427="",H427="",C427=0),"",MAX(H427,ROUNDUP(30*((L427/C427)*(1+H427/30)-1),0)))</f>
        <v/>
      </c>
    </row>
    <row r="428" customFormat="false" ht="15" hidden="false" customHeight="false" outlineLevel="0" collapsed="false">
      <c r="A428" s="51"/>
      <c r="B428" s="54"/>
      <c r="C428" s="20"/>
      <c r="D428" s="20"/>
      <c r="E428" s="20"/>
      <c r="F428" s="20"/>
      <c r="G428" s="20"/>
      <c r="H428" s="11" t="str">
        <f aca="false">IF(B428="","",IFERROR(INDEX(Program!$H$2:$H$75,MATCH(B428,Program!$D$2:$D$75,0)),""))</f>
        <v/>
      </c>
      <c r="I428" s="11" t="str">
        <f aca="false">IF(B428="","",IFERROR(INDEX(Program!$I$2:$I$75,MATCH(B428,Program!$D$2:$D$75,0)),""))</f>
        <v/>
      </c>
      <c r="J428" s="11" t="str">
        <f aca="false">IF(COUNT(D428:G428)=0,"",COUNT(D428:G428))</f>
        <v/>
      </c>
      <c r="K428" s="12" t="str">
        <f aca="false">IF(OR(J428="",I428=""),"",IF(MIN(D428:G428)&gt;=I428,"Add load (smallest step)",IF(MAX(D428:G428)&lt;H428,"Below range: if again, drop 5–10%","Same load, add reps")))</f>
        <v/>
      </c>
      <c r="L428" s="20"/>
      <c r="M428" s="11" t="str">
        <f aca="false">IF(OR(L428="",C428="",H428="",C428=0),"",MAX(H428,ROUNDUP(30*((L428/C428)*(1+H428/30)-1),0)))</f>
        <v/>
      </c>
    </row>
    <row r="429" customFormat="false" ht="15" hidden="false" customHeight="false" outlineLevel="0" collapsed="false">
      <c r="A429" s="51"/>
      <c r="B429" s="54"/>
      <c r="C429" s="20"/>
      <c r="D429" s="20"/>
      <c r="E429" s="20"/>
      <c r="F429" s="20"/>
      <c r="G429" s="20"/>
      <c r="H429" s="11" t="str">
        <f aca="false">IF(B429="","",IFERROR(INDEX(Program!$H$2:$H$75,MATCH(B429,Program!$D$2:$D$75,0)),""))</f>
        <v/>
      </c>
      <c r="I429" s="11" t="str">
        <f aca="false">IF(B429="","",IFERROR(INDEX(Program!$I$2:$I$75,MATCH(B429,Program!$D$2:$D$75,0)),""))</f>
        <v/>
      </c>
      <c r="J429" s="11" t="str">
        <f aca="false">IF(COUNT(D429:G429)=0,"",COUNT(D429:G429))</f>
        <v/>
      </c>
      <c r="K429" s="12" t="str">
        <f aca="false">IF(OR(J429="",I429=""),"",IF(MIN(D429:G429)&gt;=I429,"Add load (smallest step)",IF(MAX(D429:G429)&lt;H429,"Below range: if again, drop 5–10%","Same load, add reps")))</f>
        <v/>
      </c>
      <c r="L429" s="20"/>
      <c r="M429" s="11" t="str">
        <f aca="false">IF(OR(L429="",C429="",H429="",C429=0),"",MAX(H429,ROUNDUP(30*((L429/C429)*(1+H429/30)-1),0)))</f>
        <v/>
      </c>
    </row>
    <row r="430" customFormat="false" ht="15" hidden="false" customHeight="false" outlineLevel="0" collapsed="false">
      <c r="A430" s="51"/>
      <c r="B430" s="54"/>
      <c r="C430" s="20"/>
      <c r="D430" s="20"/>
      <c r="E430" s="20"/>
      <c r="F430" s="20"/>
      <c r="G430" s="20"/>
      <c r="H430" s="11" t="str">
        <f aca="false">IF(B430="","",IFERROR(INDEX(Program!$H$2:$H$75,MATCH(B430,Program!$D$2:$D$75,0)),""))</f>
        <v/>
      </c>
      <c r="I430" s="11" t="str">
        <f aca="false">IF(B430="","",IFERROR(INDEX(Program!$I$2:$I$75,MATCH(B430,Program!$D$2:$D$75,0)),""))</f>
        <v/>
      </c>
      <c r="J430" s="11" t="str">
        <f aca="false">IF(COUNT(D430:G430)=0,"",COUNT(D430:G430))</f>
        <v/>
      </c>
      <c r="K430" s="12" t="str">
        <f aca="false">IF(OR(J430="",I430=""),"",IF(MIN(D430:G430)&gt;=I430,"Add load (smallest step)",IF(MAX(D430:G430)&lt;H430,"Below range: if again, drop 5–10%","Same load, add reps")))</f>
        <v/>
      </c>
      <c r="L430" s="20"/>
      <c r="M430" s="11" t="str">
        <f aca="false">IF(OR(L430="",C430="",H430="",C430=0),"",MAX(H430,ROUNDUP(30*((L430/C430)*(1+H430/30)-1),0)))</f>
        <v/>
      </c>
    </row>
    <row r="431" customFormat="false" ht="15" hidden="false" customHeight="false" outlineLevel="0" collapsed="false">
      <c r="A431" s="51"/>
      <c r="B431" s="54"/>
      <c r="C431" s="20"/>
      <c r="D431" s="20"/>
      <c r="E431" s="20"/>
      <c r="F431" s="20"/>
      <c r="G431" s="20"/>
      <c r="H431" s="11" t="str">
        <f aca="false">IF(B431="","",IFERROR(INDEX(Program!$H$2:$H$75,MATCH(B431,Program!$D$2:$D$75,0)),""))</f>
        <v/>
      </c>
      <c r="I431" s="11" t="str">
        <f aca="false">IF(B431="","",IFERROR(INDEX(Program!$I$2:$I$75,MATCH(B431,Program!$D$2:$D$75,0)),""))</f>
        <v/>
      </c>
      <c r="J431" s="11" t="str">
        <f aca="false">IF(COUNT(D431:G431)=0,"",COUNT(D431:G431))</f>
        <v/>
      </c>
      <c r="K431" s="12" t="str">
        <f aca="false">IF(OR(J431="",I431=""),"",IF(MIN(D431:G431)&gt;=I431,"Add load (smallest step)",IF(MAX(D431:G431)&lt;H431,"Below range: if again, drop 5–10%","Same load, add reps")))</f>
        <v/>
      </c>
      <c r="L431" s="20"/>
      <c r="M431" s="11" t="str">
        <f aca="false">IF(OR(L431="",C431="",H431="",C431=0),"",MAX(H431,ROUNDUP(30*((L431/C431)*(1+H431/30)-1),0)))</f>
        <v/>
      </c>
    </row>
    <row r="432" customFormat="false" ht="15" hidden="false" customHeight="false" outlineLevel="0" collapsed="false">
      <c r="A432" s="51"/>
      <c r="B432" s="54"/>
      <c r="C432" s="20"/>
      <c r="D432" s="20"/>
      <c r="E432" s="20"/>
      <c r="F432" s="20"/>
      <c r="G432" s="20"/>
      <c r="H432" s="11" t="str">
        <f aca="false">IF(B432="","",IFERROR(INDEX(Program!$H$2:$H$75,MATCH(B432,Program!$D$2:$D$75,0)),""))</f>
        <v/>
      </c>
      <c r="I432" s="11" t="str">
        <f aca="false">IF(B432="","",IFERROR(INDEX(Program!$I$2:$I$75,MATCH(B432,Program!$D$2:$D$75,0)),""))</f>
        <v/>
      </c>
      <c r="J432" s="11" t="str">
        <f aca="false">IF(COUNT(D432:G432)=0,"",COUNT(D432:G432))</f>
        <v/>
      </c>
      <c r="K432" s="12" t="str">
        <f aca="false">IF(OR(J432="",I432=""),"",IF(MIN(D432:G432)&gt;=I432,"Add load (smallest step)",IF(MAX(D432:G432)&lt;H432,"Below range: if again, drop 5–10%","Same load, add reps")))</f>
        <v/>
      </c>
      <c r="L432" s="20"/>
      <c r="M432" s="11" t="str">
        <f aca="false">IF(OR(L432="",C432="",H432="",C432=0),"",MAX(H432,ROUNDUP(30*((L432/C432)*(1+H432/30)-1),0)))</f>
        <v/>
      </c>
    </row>
    <row r="433" customFormat="false" ht="15" hidden="false" customHeight="false" outlineLevel="0" collapsed="false">
      <c r="A433" s="51"/>
      <c r="B433" s="54"/>
      <c r="C433" s="20"/>
      <c r="D433" s="20"/>
      <c r="E433" s="20"/>
      <c r="F433" s="20"/>
      <c r="G433" s="20"/>
      <c r="H433" s="11" t="str">
        <f aca="false">IF(B433="","",IFERROR(INDEX(Program!$H$2:$H$75,MATCH(B433,Program!$D$2:$D$75,0)),""))</f>
        <v/>
      </c>
      <c r="I433" s="11" t="str">
        <f aca="false">IF(B433="","",IFERROR(INDEX(Program!$I$2:$I$75,MATCH(B433,Program!$D$2:$D$75,0)),""))</f>
        <v/>
      </c>
      <c r="J433" s="11" t="str">
        <f aca="false">IF(COUNT(D433:G433)=0,"",COUNT(D433:G433))</f>
        <v/>
      </c>
      <c r="K433" s="12" t="str">
        <f aca="false">IF(OR(J433="",I433=""),"",IF(MIN(D433:G433)&gt;=I433,"Add load (smallest step)",IF(MAX(D433:G433)&lt;H433,"Below range: if again, drop 5–10%","Same load, add reps")))</f>
        <v/>
      </c>
      <c r="L433" s="20"/>
      <c r="M433" s="11" t="str">
        <f aca="false">IF(OR(L433="",C433="",H433="",C433=0),"",MAX(H433,ROUNDUP(30*((L433/C433)*(1+H433/30)-1),0)))</f>
        <v/>
      </c>
    </row>
    <row r="434" customFormat="false" ht="15" hidden="false" customHeight="false" outlineLevel="0" collapsed="false">
      <c r="A434" s="51"/>
      <c r="B434" s="54"/>
      <c r="C434" s="20"/>
      <c r="D434" s="20"/>
      <c r="E434" s="20"/>
      <c r="F434" s="20"/>
      <c r="G434" s="20"/>
      <c r="H434" s="11" t="str">
        <f aca="false">IF(B434="","",IFERROR(INDEX(Program!$H$2:$H$75,MATCH(B434,Program!$D$2:$D$75,0)),""))</f>
        <v/>
      </c>
      <c r="I434" s="11" t="str">
        <f aca="false">IF(B434="","",IFERROR(INDEX(Program!$I$2:$I$75,MATCH(B434,Program!$D$2:$D$75,0)),""))</f>
        <v/>
      </c>
      <c r="J434" s="11" t="str">
        <f aca="false">IF(COUNT(D434:G434)=0,"",COUNT(D434:G434))</f>
        <v/>
      </c>
      <c r="K434" s="12" t="str">
        <f aca="false">IF(OR(J434="",I434=""),"",IF(MIN(D434:G434)&gt;=I434,"Add load (smallest step)",IF(MAX(D434:G434)&lt;H434,"Below range: if again, drop 5–10%","Same load, add reps")))</f>
        <v/>
      </c>
      <c r="L434" s="20"/>
      <c r="M434" s="11" t="str">
        <f aca="false">IF(OR(L434="",C434="",H434="",C434=0),"",MAX(H434,ROUNDUP(30*((L434/C434)*(1+H434/30)-1),0)))</f>
        <v/>
      </c>
    </row>
    <row r="435" customFormat="false" ht="15" hidden="false" customHeight="false" outlineLevel="0" collapsed="false">
      <c r="A435" s="51"/>
      <c r="B435" s="54"/>
      <c r="C435" s="20"/>
      <c r="D435" s="20"/>
      <c r="E435" s="20"/>
      <c r="F435" s="20"/>
      <c r="G435" s="20"/>
      <c r="H435" s="11" t="str">
        <f aca="false">IF(B435="","",IFERROR(INDEX(Program!$H$2:$H$75,MATCH(B435,Program!$D$2:$D$75,0)),""))</f>
        <v/>
      </c>
      <c r="I435" s="11" t="str">
        <f aca="false">IF(B435="","",IFERROR(INDEX(Program!$I$2:$I$75,MATCH(B435,Program!$D$2:$D$75,0)),""))</f>
        <v/>
      </c>
      <c r="J435" s="11" t="str">
        <f aca="false">IF(COUNT(D435:G435)=0,"",COUNT(D435:G435))</f>
        <v/>
      </c>
      <c r="K435" s="12" t="str">
        <f aca="false">IF(OR(J435="",I435=""),"",IF(MIN(D435:G435)&gt;=I435,"Add load (smallest step)",IF(MAX(D435:G435)&lt;H435,"Below range: if again, drop 5–10%","Same load, add reps")))</f>
        <v/>
      </c>
      <c r="L435" s="20"/>
      <c r="M435" s="11" t="str">
        <f aca="false">IF(OR(L435="",C435="",H435="",C435=0),"",MAX(H435,ROUNDUP(30*((L435/C435)*(1+H435/30)-1),0)))</f>
        <v/>
      </c>
    </row>
    <row r="436" customFormat="false" ht="15" hidden="false" customHeight="false" outlineLevel="0" collapsed="false">
      <c r="A436" s="51"/>
      <c r="B436" s="54"/>
      <c r="C436" s="20"/>
      <c r="D436" s="20"/>
      <c r="E436" s="20"/>
      <c r="F436" s="20"/>
      <c r="G436" s="20"/>
      <c r="H436" s="11" t="str">
        <f aca="false">IF(B436="","",IFERROR(INDEX(Program!$H$2:$H$75,MATCH(B436,Program!$D$2:$D$75,0)),""))</f>
        <v/>
      </c>
      <c r="I436" s="11" t="str">
        <f aca="false">IF(B436="","",IFERROR(INDEX(Program!$I$2:$I$75,MATCH(B436,Program!$D$2:$D$75,0)),""))</f>
        <v/>
      </c>
      <c r="J436" s="11" t="str">
        <f aca="false">IF(COUNT(D436:G436)=0,"",COUNT(D436:G436))</f>
        <v/>
      </c>
      <c r="K436" s="12" t="str">
        <f aca="false">IF(OR(J436="",I436=""),"",IF(MIN(D436:G436)&gt;=I436,"Add load (smallest step)",IF(MAX(D436:G436)&lt;H436,"Below range: if again, drop 5–10%","Same load, add reps")))</f>
        <v/>
      </c>
      <c r="L436" s="20"/>
      <c r="M436" s="11" t="str">
        <f aca="false">IF(OR(L436="",C436="",H436="",C436=0),"",MAX(H436,ROUNDUP(30*((L436/C436)*(1+H436/30)-1),0)))</f>
        <v/>
      </c>
    </row>
    <row r="437" customFormat="false" ht="15" hidden="false" customHeight="false" outlineLevel="0" collapsed="false">
      <c r="A437" s="51"/>
      <c r="B437" s="54"/>
      <c r="C437" s="20"/>
      <c r="D437" s="20"/>
      <c r="E437" s="20"/>
      <c r="F437" s="20"/>
      <c r="G437" s="20"/>
      <c r="H437" s="11" t="str">
        <f aca="false">IF(B437="","",IFERROR(INDEX(Program!$H$2:$H$75,MATCH(B437,Program!$D$2:$D$75,0)),""))</f>
        <v/>
      </c>
      <c r="I437" s="11" t="str">
        <f aca="false">IF(B437="","",IFERROR(INDEX(Program!$I$2:$I$75,MATCH(B437,Program!$D$2:$D$75,0)),""))</f>
        <v/>
      </c>
      <c r="J437" s="11" t="str">
        <f aca="false">IF(COUNT(D437:G437)=0,"",COUNT(D437:G437))</f>
        <v/>
      </c>
      <c r="K437" s="12" t="str">
        <f aca="false">IF(OR(J437="",I437=""),"",IF(MIN(D437:G437)&gt;=I437,"Add load (smallest step)",IF(MAX(D437:G437)&lt;H437,"Below range: if again, drop 5–10%","Same load, add reps")))</f>
        <v/>
      </c>
      <c r="L437" s="20"/>
      <c r="M437" s="11" t="str">
        <f aca="false">IF(OR(L437="",C437="",H437="",C437=0),"",MAX(H437,ROUNDUP(30*((L437/C437)*(1+H437/30)-1),0)))</f>
        <v/>
      </c>
    </row>
    <row r="438" customFormat="false" ht="15" hidden="false" customHeight="false" outlineLevel="0" collapsed="false">
      <c r="A438" s="51"/>
      <c r="B438" s="54"/>
      <c r="C438" s="20"/>
      <c r="D438" s="20"/>
      <c r="E438" s="20"/>
      <c r="F438" s="20"/>
      <c r="G438" s="20"/>
      <c r="H438" s="11" t="str">
        <f aca="false">IF(B438="","",IFERROR(INDEX(Program!$H$2:$H$75,MATCH(B438,Program!$D$2:$D$75,0)),""))</f>
        <v/>
      </c>
      <c r="I438" s="11" t="str">
        <f aca="false">IF(B438="","",IFERROR(INDEX(Program!$I$2:$I$75,MATCH(B438,Program!$D$2:$D$75,0)),""))</f>
        <v/>
      </c>
      <c r="J438" s="11" t="str">
        <f aca="false">IF(COUNT(D438:G438)=0,"",COUNT(D438:G438))</f>
        <v/>
      </c>
      <c r="K438" s="12" t="str">
        <f aca="false">IF(OR(J438="",I438=""),"",IF(MIN(D438:G438)&gt;=I438,"Add load (smallest step)",IF(MAX(D438:G438)&lt;H438,"Below range: if again, drop 5–10%","Same load, add reps")))</f>
        <v/>
      </c>
      <c r="L438" s="20"/>
      <c r="M438" s="11" t="str">
        <f aca="false">IF(OR(L438="",C438="",H438="",C438=0),"",MAX(H438,ROUNDUP(30*((L438/C438)*(1+H438/30)-1),0)))</f>
        <v/>
      </c>
    </row>
    <row r="439" customFormat="false" ht="15" hidden="false" customHeight="false" outlineLevel="0" collapsed="false">
      <c r="A439" s="51"/>
      <c r="B439" s="54"/>
      <c r="C439" s="20"/>
      <c r="D439" s="20"/>
      <c r="E439" s="20"/>
      <c r="F439" s="20"/>
      <c r="G439" s="20"/>
      <c r="H439" s="11" t="str">
        <f aca="false">IF(B439="","",IFERROR(INDEX(Program!$H$2:$H$75,MATCH(B439,Program!$D$2:$D$75,0)),""))</f>
        <v/>
      </c>
      <c r="I439" s="11" t="str">
        <f aca="false">IF(B439="","",IFERROR(INDEX(Program!$I$2:$I$75,MATCH(B439,Program!$D$2:$D$75,0)),""))</f>
        <v/>
      </c>
      <c r="J439" s="11" t="str">
        <f aca="false">IF(COUNT(D439:G439)=0,"",COUNT(D439:G439))</f>
        <v/>
      </c>
      <c r="K439" s="12" t="str">
        <f aca="false">IF(OR(J439="",I439=""),"",IF(MIN(D439:G439)&gt;=I439,"Add load (smallest step)",IF(MAX(D439:G439)&lt;H439,"Below range: if again, drop 5–10%","Same load, add reps")))</f>
        <v/>
      </c>
      <c r="L439" s="20"/>
      <c r="M439" s="11" t="str">
        <f aca="false">IF(OR(L439="",C439="",H439="",C439=0),"",MAX(H439,ROUNDUP(30*((L439/C439)*(1+H439/30)-1),0)))</f>
        <v/>
      </c>
    </row>
    <row r="440" customFormat="false" ht="15" hidden="false" customHeight="false" outlineLevel="0" collapsed="false">
      <c r="A440" s="51"/>
      <c r="B440" s="54"/>
      <c r="C440" s="20"/>
      <c r="D440" s="20"/>
      <c r="E440" s="20"/>
      <c r="F440" s="20"/>
      <c r="G440" s="20"/>
      <c r="H440" s="11" t="str">
        <f aca="false">IF(B440="","",IFERROR(INDEX(Program!$H$2:$H$75,MATCH(B440,Program!$D$2:$D$75,0)),""))</f>
        <v/>
      </c>
      <c r="I440" s="11" t="str">
        <f aca="false">IF(B440="","",IFERROR(INDEX(Program!$I$2:$I$75,MATCH(B440,Program!$D$2:$D$75,0)),""))</f>
        <v/>
      </c>
      <c r="J440" s="11" t="str">
        <f aca="false">IF(COUNT(D440:G440)=0,"",COUNT(D440:G440))</f>
        <v/>
      </c>
      <c r="K440" s="12" t="str">
        <f aca="false">IF(OR(J440="",I440=""),"",IF(MIN(D440:G440)&gt;=I440,"Add load (smallest step)",IF(MAX(D440:G440)&lt;H440,"Below range: if again, drop 5–10%","Same load, add reps")))</f>
        <v/>
      </c>
      <c r="L440" s="20"/>
      <c r="M440" s="11" t="str">
        <f aca="false">IF(OR(L440="",C440="",H440="",C440=0),"",MAX(H440,ROUNDUP(30*((L440/C440)*(1+H440/30)-1),0)))</f>
        <v/>
      </c>
    </row>
    <row r="441" customFormat="false" ht="15" hidden="false" customHeight="false" outlineLevel="0" collapsed="false">
      <c r="A441" s="51"/>
      <c r="B441" s="54"/>
      <c r="C441" s="20"/>
      <c r="D441" s="20"/>
      <c r="E441" s="20"/>
      <c r="F441" s="20"/>
      <c r="G441" s="20"/>
      <c r="H441" s="11" t="str">
        <f aca="false">IF(B441="","",IFERROR(INDEX(Program!$H$2:$H$75,MATCH(B441,Program!$D$2:$D$75,0)),""))</f>
        <v/>
      </c>
      <c r="I441" s="11" t="str">
        <f aca="false">IF(B441="","",IFERROR(INDEX(Program!$I$2:$I$75,MATCH(B441,Program!$D$2:$D$75,0)),""))</f>
        <v/>
      </c>
      <c r="J441" s="11" t="str">
        <f aca="false">IF(COUNT(D441:G441)=0,"",COUNT(D441:G441))</f>
        <v/>
      </c>
      <c r="K441" s="12" t="str">
        <f aca="false">IF(OR(J441="",I441=""),"",IF(MIN(D441:G441)&gt;=I441,"Add load (smallest step)",IF(MAX(D441:G441)&lt;H441,"Below range: if again, drop 5–10%","Same load, add reps")))</f>
        <v/>
      </c>
      <c r="L441" s="20"/>
      <c r="M441" s="11" t="str">
        <f aca="false">IF(OR(L441="",C441="",H441="",C441=0),"",MAX(H441,ROUNDUP(30*((L441/C441)*(1+H441/30)-1),0)))</f>
        <v/>
      </c>
    </row>
    <row r="442" customFormat="false" ht="15" hidden="false" customHeight="false" outlineLevel="0" collapsed="false">
      <c r="A442" s="51"/>
      <c r="B442" s="54"/>
      <c r="C442" s="20"/>
      <c r="D442" s="20"/>
      <c r="E442" s="20"/>
      <c r="F442" s="20"/>
      <c r="G442" s="20"/>
      <c r="H442" s="11" t="str">
        <f aca="false">IF(B442="","",IFERROR(INDEX(Program!$H$2:$H$75,MATCH(B442,Program!$D$2:$D$75,0)),""))</f>
        <v/>
      </c>
      <c r="I442" s="11" t="str">
        <f aca="false">IF(B442="","",IFERROR(INDEX(Program!$I$2:$I$75,MATCH(B442,Program!$D$2:$D$75,0)),""))</f>
        <v/>
      </c>
      <c r="J442" s="11" t="str">
        <f aca="false">IF(COUNT(D442:G442)=0,"",COUNT(D442:G442))</f>
        <v/>
      </c>
      <c r="K442" s="12" t="str">
        <f aca="false">IF(OR(J442="",I442=""),"",IF(MIN(D442:G442)&gt;=I442,"Add load (smallest step)",IF(MAX(D442:G442)&lt;H442,"Below range: if again, drop 5–10%","Same load, add reps")))</f>
        <v/>
      </c>
      <c r="L442" s="20"/>
      <c r="M442" s="11" t="str">
        <f aca="false">IF(OR(L442="",C442="",H442="",C442=0),"",MAX(H442,ROUNDUP(30*((L442/C442)*(1+H442/30)-1),0)))</f>
        <v/>
      </c>
    </row>
    <row r="443" customFormat="false" ht="15" hidden="false" customHeight="false" outlineLevel="0" collapsed="false">
      <c r="A443" s="51"/>
      <c r="B443" s="54"/>
      <c r="C443" s="20"/>
      <c r="D443" s="20"/>
      <c r="E443" s="20"/>
      <c r="F443" s="20"/>
      <c r="G443" s="20"/>
      <c r="H443" s="11" t="str">
        <f aca="false">IF(B443="","",IFERROR(INDEX(Program!$H$2:$H$75,MATCH(B443,Program!$D$2:$D$75,0)),""))</f>
        <v/>
      </c>
      <c r="I443" s="11" t="str">
        <f aca="false">IF(B443="","",IFERROR(INDEX(Program!$I$2:$I$75,MATCH(B443,Program!$D$2:$D$75,0)),""))</f>
        <v/>
      </c>
      <c r="J443" s="11" t="str">
        <f aca="false">IF(COUNT(D443:G443)=0,"",COUNT(D443:G443))</f>
        <v/>
      </c>
      <c r="K443" s="12" t="str">
        <f aca="false">IF(OR(J443="",I443=""),"",IF(MIN(D443:G443)&gt;=I443,"Add load (smallest step)",IF(MAX(D443:G443)&lt;H443,"Below range: if again, drop 5–10%","Same load, add reps")))</f>
        <v/>
      </c>
      <c r="L443" s="20"/>
      <c r="M443" s="11" t="str">
        <f aca="false">IF(OR(L443="",C443="",H443="",C443=0),"",MAX(H443,ROUNDUP(30*((L443/C443)*(1+H443/30)-1),0)))</f>
        <v/>
      </c>
    </row>
    <row r="444" customFormat="false" ht="15" hidden="false" customHeight="false" outlineLevel="0" collapsed="false">
      <c r="A444" s="51"/>
      <c r="B444" s="54"/>
      <c r="C444" s="20"/>
      <c r="D444" s="20"/>
      <c r="E444" s="20"/>
      <c r="F444" s="20"/>
      <c r="G444" s="20"/>
      <c r="H444" s="11" t="str">
        <f aca="false">IF(B444="","",IFERROR(INDEX(Program!$H$2:$H$75,MATCH(B444,Program!$D$2:$D$75,0)),""))</f>
        <v/>
      </c>
      <c r="I444" s="11" t="str">
        <f aca="false">IF(B444="","",IFERROR(INDEX(Program!$I$2:$I$75,MATCH(B444,Program!$D$2:$D$75,0)),""))</f>
        <v/>
      </c>
      <c r="J444" s="11" t="str">
        <f aca="false">IF(COUNT(D444:G444)=0,"",COUNT(D444:G444))</f>
        <v/>
      </c>
      <c r="K444" s="12" t="str">
        <f aca="false">IF(OR(J444="",I444=""),"",IF(MIN(D444:G444)&gt;=I444,"Add load (smallest step)",IF(MAX(D444:G444)&lt;H444,"Below range: if again, drop 5–10%","Same load, add reps")))</f>
        <v/>
      </c>
      <c r="L444" s="20"/>
      <c r="M444" s="11" t="str">
        <f aca="false">IF(OR(L444="",C444="",H444="",C444=0),"",MAX(H444,ROUNDUP(30*((L444/C444)*(1+H444/30)-1),0)))</f>
        <v/>
      </c>
    </row>
    <row r="445" customFormat="false" ht="15" hidden="false" customHeight="false" outlineLevel="0" collapsed="false">
      <c r="A445" s="51"/>
      <c r="B445" s="54"/>
      <c r="C445" s="20"/>
      <c r="D445" s="20"/>
      <c r="E445" s="20"/>
      <c r="F445" s="20"/>
      <c r="G445" s="20"/>
      <c r="H445" s="11" t="str">
        <f aca="false">IF(B445="","",IFERROR(INDEX(Program!$H$2:$H$75,MATCH(B445,Program!$D$2:$D$75,0)),""))</f>
        <v/>
      </c>
      <c r="I445" s="11" t="str">
        <f aca="false">IF(B445="","",IFERROR(INDEX(Program!$I$2:$I$75,MATCH(B445,Program!$D$2:$D$75,0)),""))</f>
        <v/>
      </c>
      <c r="J445" s="11" t="str">
        <f aca="false">IF(COUNT(D445:G445)=0,"",COUNT(D445:G445))</f>
        <v/>
      </c>
      <c r="K445" s="12" t="str">
        <f aca="false">IF(OR(J445="",I445=""),"",IF(MIN(D445:G445)&gt;=I445,"Add load (smallest step)",IF(MAX(D445:G445)&lt;H445,"Below range: if again, drop 5–10%","Same load, add reps")))</f>
        <v/>
      </c>
      <c r="L445" s="20"/>
      <c r="M445" s="11" t="str">
        <f aca="false">IF(OR(L445="",C445="",H445="",C445=0),"",MAX(H445,ROUNDUP(30*((L445/C445)*(1+H445/30)-1),0)))</f>
        <v/>
      </c>
    </row>
    <row r="446" customFormat="false" ht="15" hidden="false" customHeight="false" outlineLevel="0" collapsed="false">
      <c r="A446" s="51"/>
      <c r="B446" s="54"/>
      <c r="C446" s="20"/>
      <c r="D446" s="20"/>
      <c r="E446" s="20"/>
      <c r="F446" s="20"/>
      <c r="G446" s="20"/>
      <c r="H446" s="11" t="str">
        <f aca="false">IF(B446="","",IFERROR(INDEX(Program!$H$2:$H$75,MATCH(B446,Program!$D$2:$D$75,0)),""))</f>
        <v/>
      </c>
      <c r="I446" s="11" t="str">
        <f aca="false">IF(B446="","",IFERROR(INDEX(Program!$I$2:$I$75,MATCH(B446,Program!$D$2:$D$75,0)),""))</f>
        <v/>
      </c>
      <c r="J446" s="11" t="str">
        <f aca="false">IF(COUNT(D446:G446)=0,"",COUNT(D446:G446))</f>
        <v/>
      </c>
      <c r="K446" s="12" t="str">
        <f aca="false">IF(OR(J446="",I446=""),"",IF(MIN(D446:G446)&gt;=I446,"Add load (smallest step)",IF(MAX(D446:G446)&lt;H446,"Below range: if again, drop 5–10%","Same load, add reps")))</f>
        <v/>
      </c>
      <c r="L446" s="20"/>
      <c r="M446" s="11" t="str">
        <f aca="false">IF(OR(L446="",C446="",H446="",C446=0),"",MAX(H446,ROUNDUP(30*((L446/C446)*(1+H446/30)-1),0)))</f>
        <v/>
      </c>
    </row>
    <row r="447" customFormat="false" ht="15" hidden="false" customHeight="false" outlineLevel="0" collapsed="false">
      <c r="A447" s="51"/>
      <c r="B447" s="54"/>
      <c r="C447" s="20"/>
      <c r="D447" s="20"/>
      <c r="E447" s="20"/>
      <c r="F447" s="20"/>
      <c r="G447" s="20"/>
      <c r="H447" s="11" t="str">
        <f aca="false">IF(B447="","",IFERROR(INDEX(Program!$H$2:$H$75,MATCH(B447,Program!$D$2:$D$75,0)),""))</f>
        <v/>
      </c>
      <c r="I447" s="11" t="str">
        <f aca="false">IF(B447="","",IFERROR(INDEX(Program!$I$2:$I$75,MATCH(B447,Program!$D$2:$D$75,0)),""))</f>
        <v/>
      </c>
      <c r="J447" s="11" t="str">
        <f aca="false">IF(COUNT(D447:G447)=0,"",COUNT(D447:G447))</f>
        <v/>
      </c>
      <c r="K447" s="12" t="str">
        <f aca="false">IF(OR(J447="",I447=""),"",IF(MIN(D447:G447)&gt;=I447,"Add load (smallest step)",IF(MAX(D447:G447)&lt;H447,"Below range: if again, drop 5–10%","Same load, add reps")))</f>
        <v/>
      </c>
      <c r="L447" s="20"/>
      <c r="M447" s="11" t="str">
        <f aca="false">IF(OR(L447="",C447="",H447="",C447=0),"",MAX(H447,ROUNDUP(30*((L447/C447)*(1+H447/30)-1),0)))</f>
        <v/>
      </c>
    </row>
    <row r="448" customFormat="false" ht="15" hidden="false" customHeight="false" outlineLevel="0" collapsed="false">
      <c r="A448" s="51"/>
      <c r="B448" s="54"/>
      <c r="C448" s="20"/>
      <c r="D448" s="20"/>
      <c r="E448" s="20"/>
      <c r="F448" s="20"/>
      <c r="G448" s="20"/>
      <c r="H448" s="11" t="str">
        <f aca="false">IF(B448="","",IFERROR(INDEX(Program!$H$2:$H$75,MATCH(B448,Program!$D$2:$D$75,0)),""))</f>
        <v/>
      </c>
      <c r="I448" s="11" t="str">
        <f aca="false">IF(B448="","",IFERROR(INDEX(Program!$I$2:$I$75,MATCH(B448,Program!$D$2:$D$75,0)),""))</f>
        <v/>
      </c>
      <c r="J448" s="11" t="str">
        <f aca="false">IF(COUNT(D448:G448)=0,"",COUNT(D448:G448))</f>
        <v/>
      </c>
      <c r="K448" s="12" t="str">
        <f aca="false">IF(OR(J448="",I448=""),"",IF(MIN(D448:G448)&gt;=I448,"Add load (smallest step)",IF(MAX(D448:G448)&lt;H448,"Below range: if again, drop 5–10%","Same load, add reps")))</f>
        <v/>
      </c>
      <c r="L448" s="20"/>
      <c r="M448" s="11" t="str">
        <f aca="false">IF(OR(L448="",C448="",H448="",C448=0),"",MAX(H448,ROUNDUP(30*((L448/C448)*(1+H448/30)-1),0)))</f>
        <v/>
      </c>
    </row>
    <row r="449" customFormat="false" ht="15" hidden="false" customHeight="false" outlineLevel="0" collapsed="false">
      <c r="A449" s="51"/>
      <c r="B449" s="54"/>
      <c r="C449" s="20"/>
      <c r="D449" s="20"/>
      <c r="E449" s="20"/>
      <c r="F449" s="20"/>
      <c r="G449" s="20"/>
      <c r="H449" s="11" t="str">
        <f aca="false">IF(B449="","",IFERROR(INDEX(Program!$H$2:$H$75,MATCH(B449,Program!$D$2:$D$75,0)),""))</f>
        <v/>
      </c>
      <c r="I449" s="11" t="str">
        <f aca="false">IF(B449="","",IFERROR(INDEX(Program!$I$2:$I$75,MATCH(B449,Program!$D$2:$D$75,0)),""))</f>
        <v/>
      </c>
      <c r="J449" s="11" t="str">
        <f aca="false">IF(COUNT(D449:G449)=0,"",COUNT(D449:G449))</f>
        <v/>
      </c>
      <c r="K449" s="12" t="str">
        <f aca="false">IF(OR(J449="",I449=""),"",IF(MIN(D449:G449)&gt;=I449,"Add load (smallest step)",IF(MAX(D449:G449)&lt;H449,"Below range: if again, drop 5–10%","Same load, add reps")))</f>
        <v/>
      </c>
      <c r="L449" s="20"/>
      <c r="M449" s="11" t="str">
        <f aca="false">IF(OR(L449="",C449="",H449="",C449=0),"",MAX(H449,ROUNDUP(30*((L449/C449)*(1+H449/30)-1),0)))</f>
        <v/>
      </c>
    </row>
    <row r="450" customFormat="false" ht="15" hidden="false" customHeight="false" outlineLevel="0" collapsed="false">
      <c r="A450" s="51"/>
      <c r="B450" s="54"/>
      <c r="C450" s="20"/>
      <c r="D450" s="20"/>
      <c r="E450" s="20"/>
      <c r="F450" s="20"/>
      <c r="G450" s="20"/>
      <c r="H450" s="11" t="str">
        <f aca="false">IF(B450="","",IFERROR(INDEX(Program!$H$2:$H$75,MATCH(B450,Program!$D$2:$D$75,0)),""))</f>
        <v/>
      </c>
      <c r="I450" s="11" t="str">
        <f aca="false">IF(B450="","",IFERROR(INDEX(Program!$I$2:$I$75,MATCH(B450,Program!$D$2:$D$75,0)),""))</f>
        <v/>
      </c>
      <c r="J450" s="11" t="str">
        <f aca="false">IF(COUNT(D450:G450)=0,"",COUNT(D450:G450))</f>
        <v/>
      </c>
      <c r="K450" s="12" t="str">
        <f aca="false">IF(OR(J450="",I450=""),"",IF(MIN(D450:G450)&gt;=I450,"Add load (smallest step)",IF(MAX(D450:G450)&lt;H450,"Below range: if again, drop 5–10%","Same load, add reps")))</f>
        <v/>
      </c>
      <c r="L450" s="20"/>
      <c r="M450" s="11" t="str">
        <f aca="false">IF(OR(L450="",C450="",H450="",C450=0),"",MAX(H450,ROUNDUP(30*((L450/C450)*(1+H450/30)-1),0)))</f>
        <v/>
      </c>
    </row>
    <row r="451" customFormat="false" ht="15" hidden="false" customHeight="false" outlineLevel="0" collapsed="false">
      <c r="A451" s="51"/>
      <c r="B451" s="54"/>
      <c r="C451" s="20"/>
      <c r="D451" s="20"/>
      <c r="E451" s="20"/>
      <c r="F451" s="20"/>
      <c r="G451" s="20"/>
      <c r="H451" s="11" t="str">
        <f aca="false">IF(B451="","",IFERROR(INDEX(Program!$H$2:$H$75,MATCH(B451,Program!$D$2:$D$75,0)),""))</f>
        <v/>
      </c>
      <c r="I451" s="11" t="str">
        <f aca="false">IF(B451="","",IFERROR(INDEX(Program!$I$2:$I$75,MATCH(B451,Program!$D$2:$D$75,0)),""))</f>
        <v/>
      </c>
      <c r="J451" s="11" t="str">
        <f aca="false">IF(COUNT(D451:G451)=0,"",COUNT(D451:G451))</f>
        <v/>
      </c>
      <c r="K451" s="12" t="str">
        <f aca="false">IF(OR(J451="",I451=""),"",IF(MIN(D451:G451)&gt;=I451,"Add load (smallest step)",IF(MAX(D451:G451)&lt;H451,"Below range: if again, drop 5–10%","Same load, add reps")))</f>
        <v/>
      </c>
      <c r="L451" s="20"/>
      <c r="M451" s="11" t="str">
        <f aca="false">IF(OR(L451="",C451="",H451="",C451=0),"",MAX(H451,ROUNDUP(30*((L451/C451)*(1+H451/30)-1),0)))</f>
        <v/>
      </c>
    </row>
    <row r="452" customFormat="false" ht="15" hidden="false" customHeight="false" outlineLevel="0" collapsed="false">
      <c r="A452" s="51"/>
      <c r="B452" s="54"/>
      <c r="C452" s="20"/>
      <c r="D452" s="20"/>
      <c r="E452" s="20"/>
      <c r="F452" s="20"/>
      <c r="G452" s="20"/>
      <c r="H452" s="11" t="str">
        <f aca="false">IF(B452="","",IFERROR(INDEX(Program!$H$2:$H$75,MATCH(B452,Program!$D$2:$D$75,0)),""))</f>
        <v/>
      </c>
      <c r="I452" s="11" t="str">
        <f aca="false">IF(B452="","",IFERROR(INDEX(Program!$I$2:$I$75,MATCH(B452,Program!$D$2:$D$75,0)),""))</f>
        <v/>
      </c>
      <c r="J452" s="11" t="str">
        <f aca="false">IF(COUNT(D452:G452)=0,"",COUNT(D452:G452))</f>
        <v/>
      </c>
      <c r="K452" s="12" t="str">
        <f aca="false">IF(OR(J452="",I452=""),"",IF(MIN(D452:G452)&gt;=I452,"Add load (smallest step)",IF(MAX(D452:G452)&lt;H452,"Below range: if again, drop 5–10%","Same load, add reps")))</f>
        <v/>
      </c>
      <c r="L452" s="20"/>
      <c r="M452" s="11" t="str">
        <f aca="false">IF(OR(L452="",C452="",H452="",C452=0),"",MAX(H452,ROUNDUP(30*((L452/C452)*(1+H452/30)-1),0)))</f>
        <v/>
      </c>
    </row>
    <row r="453" customFormat="false" ht="15" hidden="false" customHeight="false" outlineLevel="0" collapsed="false">
      <c r="A453" s="51"/>
      <c r="B453" s="54"/>
      <c r="C453" s="20"/>
      <c r="D453" s="20"/>
      <c r="E453" s="20"/>
      <c r="F453" s="20"/>
      <c r="G453" s="20"/>
      <c r="H453" s="11" t="str">
        <f aca="false">IF(B453="","",IFERROR(INDEX(Program!$H$2:$H$75,MATCH(B453,Program!$D$2:$D$75,0)),""))</f>
        <v/>
      </c>
      <c r="I453" s="11" t="str">
        <f aca="false">IF(B453="","",IFERROR(INDEX(Program!$I$2:$I$75,MATCH(B453,Program!$D$2:$D$75,0)),""))</f>
        <v/>
      </c>
      <c r="J453" s="11" t="str">
        <f aca="false">IF(COUNT(D453:G453)=0,"",COUNT(D453:G453))</f>
        <v/>
      </c>
      <c r="K453" s="12" t="str">
        <f aca="false">IF(OR(J453="",I453=""),"",IF(MIN(D453:G453)&gt;=I453,"Add load (smallest step)",IF(MAX(D453:G453)&lt;H453,"Below range: if again, drop 5–10%","Same load, add reps")))</f>
        <v/>
      </c>
      <c r="L453" s="20"/>
      <c r="M453" s="11" t="str">
        <f aca="false">IF(OR(L453="",C453="",H453="",C453=0),"",MAX(H453,ROUNDUP(30*((L453/C453)*(1+H453/30)-1),0)))</f>
        <v/>
      </c>
    </row>
    <row r="454" customFormat="false" ht="15" hidden="false" customHeight="false" outlineLevel="0" collapsed="false">
      <c r="A454" s="51"/>
      <c r="B454" s="54"/>
      <c r="C454" s="20"/>
      <c r="D454" s="20"/>
      <c r="E454" s="20"/>
      <c r="F454" s="20"/>
      <c r="G454" s="20"/>
      <c r="H454" s="11" t="str">
        <f aca="false">IF(B454="","",IFERROR(INDEX(Program!$H$2:$H$75,MATCH(B454,Program!$D$2:$D$75,0)),""))</f>
        <v/>
      </c>
      <c r="I454" s="11" t="str">
        <f aca="false">IF(B454="","",IFERROR(INDEX(Program!$I$2:$I$75,MATCH(B454,Program!$D$2:$D$75,0)),""))</f>
        <v/>
      </c>
      <c r="J454" s="11" t="str">
        <f aca="false">IF(COUNT(D454:G454)=0,"",COUNT(D454:G454))</f>
        <v/>
      </c>
      <c r="K454" s="12" t="str">
        <f aca="false">IF(OR(J454="",I454=""),"",IF(MIN(D454:G454)&gt;=I454,"Add load (smallest step)",IF(MAX(D454:G454)&lt;H454,"Below range: if again, drop 5–10%","Same load, add reps")))</f>
        <v/>
      </c>
      <c r="L454" s="20"/>
      <c r="M454" s="11" t="str">
        <f aca="false">IF(OR(L454="",C454="",H454="",C454=0),"",MAX(H454,ROUNDUP(30*((L454/C454)*(1+H454/30)-1),0)))</f>
        <v/>
      </c>
    </row>
    <row r="455" customFormat="false" ht="15" hidden="false" customHeight="false" outlineLevel="0" collapsed="false">
      <c r="A455" s="51"/>
      <c r="B455" s="54"/>
      <c r="C455" s="20"/>
      <c r="D455" s="20"/>
      <c r="E455" s="20"/>
      <c r="F455" s="20"/>
      <c r="G455" s="20"/>
      <c r="H455" s="11" t="str">
        <f aca="false">IF(B455="","",IFERROR(INDEX(Program!$H$2:$H$75,MATCH(B455,Program!$D$2:$D$75,0)),""))</f>
        <v/>
      </c>
      <c r="I455" s="11" t="str">
        <f aca="false">IF(B455="","",IFERROR(INDEX(Program!$I$2:$I$75,MATCH(B455,Program!$D$2:$D$75,0)),""))</f>
        <v/>
      </c>
      <c r="J455" s="11" t="str">
        <f aca="false">IF(COUNT(D455:G455)=0,"",COUNT(D455:G455))</f>
        <v/>
      </c>
      <c r="K455" s="12" t="str">
        <f aca="false">IF(OR(J455="",I455=""),"",IF(MIN(D455:G455)&gt;=I455,"Add load (smallest step)",IF(MAX(D455:G455)&lt;H455,"Below range: if again, drop 5–10%","Same load, add reps")))</f>
        <v/>
      </c>
      <c r="L455" s="20"/>
      <c r="M455" s="11" t="str">
        <f aca="false">IF(OR(L455="",C455="",H455="",C455=0),"",MAX(H455,ROUNDUP(30*((L455/C455)*(1+H455/30)-1),0)))</f>
        <v/>
      </c>
    </row>
    <row r="456" customFormat="false" ht="15" hidden="false" customHeight="false" outlineLevel="0" collapsed="false">
      <c r="A456" s="51"/>
      <c r="B456" s="54"/>
      <c r="C456" s="20"/>
      <c r="D456" s="20"/>
      <c r="E456" s="20"/>
      <c r="F456" s="20"/>
      <c r="G456" s="20"/>
      <c r="H456" s="11" t="str">
        <f aca="false">IF(B456="","",IFERROR(INDEX(Program!$H$2:$H$75,MATCH(B456,Program!$D$2:$D$75,0)),""))</f>
        <v/>
      </c>
      <c r="I456" s="11" t="str">
        <f aca="false">IF(B456="","",IFERROR(INDEX(Program!$I$2:$I$75,MATCH(B456,Program!$D$2:$D$75,0)),""))</f>
        <v/>
      </c>
      <c r="J456" s="11" t="str">
        <f aca="false">IF(COUNT(D456:G456)=0,"",COUNT(D456:G456))</f>
        <v/>
      </c>
      <c r="K456" s="12" t="str">
        <f aca="false">IF(OR(J456="",I456=""),"",IF(MIN(D456:G456)&gt;=I456,"Add load (smallest step)",IF(MAX(D456:G456)&lt;H456,"Below range: if again, drop 5–10%","Same load, add reps")))</f>
        <v/>
      </c>
      <c r="L456" s="20"/>
      <c r="M456" s="11" t="str">
        <f aca="false">IF(OR(L456="",C456="",H456="",C456=0),"",MAX(H456,ROUNDUP(30*((L456/C456)*(1+H456/30)-1),0)))</f>
        <v/>
      </c>
    </row>
    <row r="457" customFormat="false" ht="15" hidden="false" customHeight="false" outlineLevel="0" collapsed="false">
      <c r="A457" s="51"/>
      <c r="B457" s="54"/>
      <c r="C457" s="20"/>
      <c r="D457" s="20"/>
      <c r="E457" s="20"/>
      <c r="F457" s="20"/>
      <c r="G457" s="20"/>
      <c r="H457" s="11" t="str">
        <f aca="false">IF(B457="","",IFERROR(INDEX(Program!$H$2:$H$75,MATCH(B457,Program!$D$2:$D$75,0)),""))</f>
        <v/>
      </c>
      <c r="I457" s="11" t="str">
        <f aca="false">IF(B457="","",IFERROR(INDEX(Program!$I$2:$I$75,MATCH(B457,Program!$D$2:$D$75,0)),""))</f>
        <v/>
      </c>
      <c r="J457" s="11" t="str">
        <f aca="false">IF(COUNT(D457:G457)=0,"",COUNT(D457:G457))</f>
        <v/>
      </c>
      <c r="K457" s="12" t="str">
        <f aca="false">IF(OR(J457="",I457=""),"",IF(MIN(D457:G457)&gt;=I457,"Add load (smallest step)",IF(MAX(D457:G457)&lt;H457,"Below range: if again, drop 5–10%","Same load, add reps")))</f>
        <v/>
      </c>
      <c r="L457" s="20"/>
      <c r="M457" s="11" t="str">
        <f aca="false">IF(OR(L457="",C457="",H457="",C457=0),"",MAX(H457,ROUNDUP(30*((L457/C457)*(1+H457/30)-1),0)))</f>
        <v/>
      </c>
    </row>
    <row r="458" customFormat="false" ht="15" hidden="false" customHeight="false" outlineLevel="0" collapsed="false">
      <c r="A458" s="51"/>
      <c r="B458" s="54"/>
      <c r="C458" s="20"/>
      <c r="D458" s="20"/>
      <c r="E458" s="20"/>
      <c r="F458" s="20"/>
      <c r="G458" s="20"/>
      <c r="H458" s="11" t="str">
        <f aca="false">IF(B458="","",IFERROR(INDEX(Program!$H$2:$H$75,MATCH(B458,Program!$D$2:$D$75,0)),""))</f>
        <v/>
      </c>
      <c r="I458" s="11" t="str">
        <f aca="false">IF(B458="","",IFERROR(INDEX(Program!$I$2:$I$75,MATCH(B458,Program!$D$2:$D$75,0)),""))</f>
        <v/>
      </c>
      <c r="J458" s="11" t="str">
        <f aca="false">IF(COUNT(D458:G458)=0,"",COUNT(D458:G458))</f>
        <v/>
      </c>
      <c r="K458" s="12" t="str">
        <f aca="false">IF(OR(J458="",I458=""),"",IF(MIN(D458:G458)&gt;=I458,"Add load (smallest step)",IF(MAX(D458:G458)&lt;H458,"Below range: if again, drop 5–10%","Same load, add reps")))</f>
        <v/>
      </c>
      <c r="L458" s="20"/>
      <c r="M458" s="11" t="str">
        <f aca="false">IF(OR(L458="",C458="",H458="",C458=0),"",MAX(H458,ROUNDUP(30*((L458/C458)*(1+H458/30)-1),0)))</f>
        <v/>
      </c>
    </row>
    <row r="459" customFormat="false" ht="15" hidden="false" customHeight="false" outlineLevel="0" collapsed="false">
      <c r="A459" s="51"/>
      <c r="B459" s="54"/>
      <c r="C459" s="20"/>
      <c r="D459" s="20"/>
      <c r="E459" s="20"/>
      <c r="F459" s="20"/>
      <c r="G459" s="20"/>
      <c r="H459" s="11" t="str">
        <f aca="false">IF(B459="","",IFERROR(INDEX(Program!$H$2:$H$75,MATCH(B459,Program!$D$2:$D$75,0)),""))</f>
        <v/>
      </c>
      <c r="I459" s="11" t="str">
        <f aca="false">IF(B459="","",IFERROR(INDEX(Program!$I$2:$I$75,MATCH(B459,Program!$D$2:$D$75,0)),""))</f>
        <v/>
      </c>
      <c r="J459" s="11" t="str">
        <f aca="false">IF(COUNT(D459:G459)=0,"",COUNT(D459:G459))</f>
        <v/>
      </c>
      <c r="K459" s="12" t="str">
        <f aca="false">IF(OR(J459="",I459=""),"",IF(MIN(D459:G459)&gt;=I459,"Add load (smallest step)",IF(MAX(D459:G459)&lt;H459,"Below range: if again, drop 5–10%","Same load, add reps")))</f>
        <v/>
      </c>
      <c r="L459" s="20"/>
      <c r="M459" s="11" t="str">
        <f aca="false">IF(OR(L459="",C459="",H459="",C459=0),"",MAX(H459,ROUNDUP(30*((L459/C459)*(1+H459/30)-1),0)))</f>
        <v/>
      </c>
    </row>
    <row r="460" customFormat="false" ht="15" hidden="false" customHeight="false" outlineLevel="0" collapsed="false">
      <c r="A460" s="51"/>
      <c r="B460" s="54"/>
      <c r="C460" s="20"/>
      <c r="D460" s="20"/>
      <c r="E460" s="20"/>
      <c r="F460" s="20"/>
      <c r="G460" s="20"/>
      <c r="H460" s="11" t="str">
        <f aca="false">IF(B460="","",IFERROR(INDEX(Program!$H$2:$H$75,MATCH(B460,Program!$D$2:$D$75,0)),""))</f>
        <v/>
      </c>
      <c r="I460" s="11" t="str">
        <f aca="false">IF(B460="","",IFERROR(INDEX(Program!$I$2:$I$75,MATCH(B460,Program!$D$2:$D$75,0)),""))</f>
        <v/>
      </c>
      <c r="J460" s="11" t="str">
        <f aca="false">IF(COUNT(D460:G460)=0,"",COUNT(D460:G460))</f>
        <v/>
      </c>
      <c r="K460" s="12" t="str">
        <f aca="false">IF(OR(J460="",I460=""),"",IF(MIN(D460:G460)&gt;=I460,"Add load (smallest step)",IF(MAX(D460:G460)&lt;H460,"Below range: if again, drop 5–10%","Same load, add reps")))</f>
        <v/>
      </c>
      <c r="L460" s="20"/>
      <c r="M460" s="11" t="str">
        <f aca="false">IF(OR(L460="",C460="",H460="",C460=0),"",MAX(H460,ROUNDUP(30*((L460/C460)*(1+H460/30)-1),0)))</f>
        <v/>
      </c>
    </row>
    <row r="461" customFormat="false" ht="15" hidden="false" customHeight="false" outlineLevel="0" collapsed="false">
      <c r="A461" s="51"/>
      <c r="B461" s="54"/>
      <c r="C461" s="20"/>
      <c r="D461" s="20"/>
      <c r="E461" s="20"/>
      <c r="F461" s="20"/>
      <c r="G461" s="20"/>
      <c r="H461" s="11" t="str">
        <f aca="false">IF(B461="","",IFERROR(INDEX(Program!$H$2:$H$75,MATCH(B461,Program!$D$2:$D$75,0)),""))</f>
        <v/>
      </c>
      <c r="I461" s="11" t="str">
        <f aca="false">IF(B461="","",IFERROR(INDEX(Program!$I$2:$I$75,MATCH(B461,Program!$D$2:$D$75,0)),""))</f>
        <v/>
      </c>
      <c r="J461" s="11" t="str">
        <f aca="false">IF(COUNT(D461:G461)=0,"",COUNT(D461:G461))</f>
        <v/>
      </c>
      <c r="K461" s="12" t="str">
        <f aca="false">IF(OR(J461="",I461=""),"",IF(MIN(D461:G461)&gt;=I461,"Add load (smallest step)",IF(MAX(D461:G461)&lt;H461,"Below range: if again, drop 5–10%","Same load, add reps")))</f>
        <v/>
      </c>
      <c r="L461" s="20"/>
      <c r="M461" s="11" t="str">
        <f aca="false">IF(OR(L461="",C461="",H461="",C461=0),"",MAX(H461,ROUNDUP(30*((L461/C461)*(1+H461/30)-1),0)))</f>
        <v/>
      </c>
    </row>
    <row r="462" customFormat="false" ht="15" hidden="false" customHeight="false" outlineLevel="0" collapsed="false">
      <c r="A462" s="51"/>
      <c r="B462" s="54"/>
      <c r="C462" s="20"/>
      <c r="D462" s="20"/>
      <c r="E462" s="20"/>
      <c r="F462" s="20"/>
      <c r="G462" s="20"/>
      <c r="H462" s="11" t="str">
        <f aca="false">IF(B462="","",IFERROR(INDEX(Program!$H$2:$H$75,MATCH(B462,Program!$D$2:$D$75,0)),""))</f>
        <v/>
      </c>
      <c r="I462" s="11" t="str">
        <f aca="false">IF(B462="","",IFERROR(INDEX(Program!$I$2:$I$75,MATCH(B462,Program!$D$2:$D$75,0)),""))</f>
        <v/>
      </c>
      <c r="J462" s="11" t="str">
        <f aca="false">IF(COUNT(D462:G462)=0,"",COUNT(D462:G462))</f>
        <v/>
      </c>
      <c r="K462" s="12" t="str">
        <f aca="false">IF(OR(J462="",I462=""),"",IF(MIN(D462:G462)&gt;=I462,"Add load (smallest step)",IF(MAX(D462:G462)&lt;H462,"Below range: if again, drop 5–10%","Same load, add reps")))</f>
        <v/>
      </c>
      <c r="L462" s="20"/>
      <c r="M462" s="11" t="str">
        <f aca="false">IF(OR(L462="",C462="",H462="",C462=0),"",MAX(H462,ROUNDUP(30*((L462/C462)*(1+H462/30)-1),0)))</f>
        <v/>
      </c>
    </row>
    <row r="463" customFormat="false" ht="15" hidden="false" customHeight="false" outlineLevel="0" collapsed="false">
      <c r="A463" s="51"/>
      <c r="B463" s="54"/>
      <c r="C463" s="20"/>
      <c r="D463" s="20"/>
      <c r="E463" s="20"/>
      <c r="F463" s="20"/>
      <c r="G463" s="20"/>
      <c r="H463" s="11" t="str">
        <f aca="false">IF(B463="","",IFERROR(INDEX(Program!$H$2:$H$75,MATCH(B463,Program!$D$2:$D$75,0)),""))</f>
        <v/>
      </c>
      <c r="I463" s="11" t="str">
        <f aca="false">IF(B463="","",IFERROR(INDEX(Program!$I$2:$I$75,MATCH(B463,Program!$D$2:$D$75,0)),""))</f>
        <v/>
      </c>
      <c r="J463" s="11" t="str">
        <f aca="false">IF(COUNT(D463:G463)=0,"",COUNT(D463:G463))</f>
        <v/>
      </c>
      <c r="K463" s="12" t="str">
        <f aca="false">IF(OR(J463="",I463=""),"",IF(MIN(D463:G463)&gt;=I463,"Add load (smallest step)",IF(MAX(D463:G463)&lt;H463,"Below range: if again, drop 5–10%","Same load, add reps")))</f>
        <v/>
      </c>
      <c r="L463" s="20"/>
      <c r="M463" s="11" t="str">
        <f aca="false">IF(OR(L463="",C463="",H463="",C463=0),"",MAX(H463,ROUNDUP(30*((L463/C463)*(1+H463/30)-1),0)))</f>
        <v/>
      </c>
    </row>
    <row r="464" customFormat="false" ht="15" hidden="false" customHeight="false" outlineLevel="0" collapsed="false">
      <c r="A464" s="51"/>
      <c r="B464" s="54"/>
      <c r="C464" s="20"/>
      <c r="D464" s="20"/>
      <c r="E464" s="20"/>
      <c r="F464" s="20"/>
      <c r="G464" s="20"/>
      <c r="H464" s="11" t="str">
        <f aca="false">IF(B464="","",IFERROR(INDEX(Program!$H$2:$H$75,MATCH(B464,Program!$D$2:$D$75,0)),""))</f>
        <v/>
      </c>
      <c r="I464" s="11" t="str">
        <f aca="false">IF(B464="","",IFERROR(INDEX(Program!$I$2:$I$75,MATCH(B464,Program!$D$2:$D$75,0)),""))</f>
        <v/>
      </c>
      <c r="J464" s="11" t="str">
        <f aca="false">IF(COUNT(D464:G464)=0,"",COUNT(D464:G464))</f>
        <v/>
      </c>
      <c r="K464" s="12" t="str">
        <f aca="false">IF(OR(J464="",I464=""),"",IF(MIN(D464:G464)&gt;=I464,"Add load (smallest step)",IF(MAX(D464:G464)&lt;H464,"Below range: if again, drop 5–10%","Same load, add reps")))</f>
        <v/>
      </c>
      <c r="L464" s="20"/>
      <c r="M464" s="11" t="str">
        <f aca="false">IF(OR(L464="",C464="",H464="",C464=0),"",MAX(H464,ROUNDUP(30*((L464/C464)*(1+H464/30)-1),0)))</f>
        <v/>
      </c>
    </row>
    <row r="465" customFormat="false" ht="15" hidden="false" customHeight="false" outlineLevel="0" collapsed="false">
      <c r="A465" s="51"/>
      <c r="B465" s="54"/>
      <c r="C465" s="20"/>
      <c r="D465" s="20"/>
      <c r="E465" s="20"/>
      <c r="F465" s="20"/>
      <c r="G465" s="20"/>
      <c r="H465" s="11" t="str">
        <f aca="false">IF(B465="","",IFERROR(INDEX(Program!$H$2:$H$75,MATCH(B465,Program!$D$2:$D$75,0)),""))</f>
        <v/>
      </c>
      <c r="I465" s="11" t="str">
        <f aca="false">IF(B465="","",IFERROR(INDEX(Program!$I$2:$I$75,MATCH(B465,Program!$D$2:$D$75,0)),""))</f>
        <v/>
      </c>
      <c r="J465" s="11" t="str">
        <f aca="false">IF(COUNT(D465:G465)=0,"",COUNT(D465:G465))</f>
        <v/>
      </c>
      <c r="K465" s="12" t="str">
        <f aca="false">IF(OR(J465="",I465=""),"",IF(MIN(D465:G465)&gt;=I465,"Add load (smallest step)",IF(MAX(D465:G465)&lt;H465,"Below range: if again, drop 5–10%","Same load, add reps")))</f>
        <v/>
      </c>
      <c r="L465" s="20"/>
      <c r="M465" s="11" t="str">
        <f aca="false">IF(OR(L465="",C465="",H465="",C465=0),"",MAX(H465,ROUNDUP(30*((L465/C465)*(1+H465/30)-1),0)))</f>
        <v/>
      </c>
    </row>
    <row r="466" customFormat="false" ht="15" hidden="false" customHeight="false" outlineLevel="0" collapsed="false">
      <c r="A466" s="51"/>
      <c r="B466" s="54"/>
      <c r="C466" s="20"/>
      <c r="D466" s="20"/>
      <c r="E466" s="20"/>
      <c r="F466" s="20"/>
      <c r="G466" s="20"/>
      <c r="H466" s="11" t="str">
        <f aca="false">IF(B466="","",IFERROR(INDEX(Program!$H$2:$H$75,MATCH(B466,Program!$D$2:$D$75,0)),""))</f>
        <v/>
      </c>
      <c r="I466" s="11" t="str">
        <f aca="false">IF(B466="","",IFERROR(INDEX(Program!$I$2:$I$75,MATCH(B466,Program!$D$2:$D$75,0)),""))</f>
        <v/>
      </c>
      <c r="J466" s="11" t="str">
        <f aca="false">IF(COUNT(D466:G466)=0,"",COUNT(D466:G466))</f>
        <v/>
      </c>
      <c r="K466" s="12" t="str">
        <f aca="false">IF(OR(J466="",I466=""),"",IF(MIN(D466:G466)&gt;=I466,"Add load (smallest step)",IF(MAX(D466:G466)&lt;H466,"Below range: if again, drop 5–10%","Same load, add reps")))</f>
        <v/>
      </c>
      <c r="L466" s="20"/>
      <c r="M466" s="11" t="str">
        <f aca="false">IF(OR(L466="",C466="",H466="",C466=0),"",MAX(H466,ROUNDUP(30*((L466/C466)*(1+H466/30)-1),0)))</f>
        <v/>
      </c>
    </row>
    <row r="467" customFormat="false" ht="15" hidden="false" customHeight="false" outlineLevel="0" collapsed="false">
      <c r="A467" s="51"/>
      <c r="B467" s="54"/>
      <c r="C467" s="20"/>
      <c r="D467" s="20"/>
      <c r="E467" s="20"/>
      <c r="F467" s="20"/>
      <c r="G467" s="20"/>
      <c r="H467" s="11" t="str">
        <f aca="false">IF(B467="","",IFERROR(INDEX(Program!$H$2:$H$75,MATCH(B467,Program!$D$2:$D$75,0)),""))</f>
        <v/>
      </c>
      <c r="I467" s="11" t="str">
        <f aca="false">IF(B467="","",IFERROR(INDEX(Program!$I$2:$I$75,MATCH(B467,Program!$D$2:$D$75,0)),""))</f>
        <v/>
      </c>
      <c r="J467" s="11" t="str">
        <f aca="false">IF(COUNT(D467:G467)=0,"",COUNT(D467:G467))</f>
        <v/>
      </c>
      <c r="K467" s="12" t="str">
        <f aca="false">IF(OR(J467="",I467=""),"",IF(MIN(D467:G467)&gt;=I467,"Add load (smallest step)",IF(MAX(D467:G467)&lt;H467,"Below range: if again, drop 5–10%","Same load, add reps")))</f>
        <v/>
      </c>
      <c r="L467" s="20"/>
      <c r="M467" s="11" t="str">
        <f aca="false">IF(OR(L467="",C467="",H467="",C467=0),"",MAX(H467,ROUNDUP(30*((L467/C467)*(1+H467/30)-1),0)))</f>
        <v/>
      </c>
    </row>
    <row r="468" customFormat="false" ht="15" hidden="false" customHeight="false" outlineLevel="0" collapsed="false">
      <c r="A468" s="51"/>
      <c r="B468" s="54"/>
      <c r="C468" s="20"/>
      <c r="D468" s="20"/>
      <c r="E468" s="20"/>
      <c r="F468" s="20"/>
      <c r="G468" s="20"/>
      <c r="H468" s="11" t="str">
        <f aca="false">IF(B468="","",IFERROR(INDEX(Program!$H$2:$H$75,MATCH(B468,Program!$D$2:$D$75,0)),""))</f>
        <v/>
      </c>
      <c r="I468" s="11" t="str">
        <f aca="false">IF(B468="","",IFERROR(INDEX(Program!$I$2:$I$75,MATCH(B468,Program!$D$2:$D$75,0)),""))</f>
        <v/>
      </c>
      <c r="J468" s="11" t="str">
        <f aca="false">IF(COUNT(D468:G468)=0,"",COUNT(D468:G468))</f>
        <v/>
      </c>
      <c r="K468" s="12" t="str">
        <f aca="false">IF(OR(J468="",I468=""),"",IF(MIN(D468:G468)&gt;=I468,"Add load (smallest step)",IF(MAX(D468:G468)&lt;H468,"Below range: if again, drop 5–10%","Same load, add reps")))</f>
        <v/>
      </c>
      <c r="L468" s="20"/>
      <c r="M468" s="11" t="str">
        <f aca="false">IF(OR(L468="",C468="",H468="",C468=0),"",MAX(H468,ROUNDUP(30*((L468/C468)*(1+H468/30)-1),0)))</f>
        <v/>
      </c>
    </row>
    <row r="469" customFormat="false" ht="15" hidden="false" customHeight="false" outlineLevel="0" collapsed="false">
      <c r="A469" s="51"/>
      <c r="B469" s="54"/>
      <c r="C469" s="20"/>
      <c r="D469" s="20"/>
      <c r="E469" s="20"/>
      <c r="F469" s="20"/>
      <c r="G469" s="20"/>
      <c r="H469" s="11" t="str">
        <f aca="false">IF(B469="","",IFERROR(INDEX(Program!$H$2:$H$75,MATCH(B469,Program!$D$2:$D$75,0)),""))</f>
        <v/>
      </c>
      <c r="I469" s="11" t="str">
        <f aca="false">IF(B469="","",IFERROR(INDEX(Program!$I$2:$I$75,MATCH(B469,Program!$D$2:$D$75,0)),""))</f>
        <v/>
      </c>
      <c r="J469" s="11" t="str">
        <f aca="false">IF(COUNT(D469:G469)=0,"",COUNT(D469:G469))</f>
        <v/>
      </c>
      <c r="K469" s="12" t="str">
        <f aca="false">IF(OR(J469="",I469=""),"",IF(MIN(D469:G469)&gt;=I469,"Add load (smallest step)",IF(MAX(D469:G469)&lt;H469,"Below range: if again, drop 5–10%","Same load, add reps")))</f>
        <v/>
      </c>
      <c r="L469" s="20"/>
      <c r="M469" s="11" t="str">
        <f aca="false">IF(OR(L469="",C469="",H469="",C469=0),"",MAX(H469,ROUNDUP(30*((L469/C469)*(1+H469/30)-1),0)))</f>
        <v/>
      </c>
    </row>
    <row r="470" customFormat="false" ht="15" hidden="false" customHeight="false" outlineLevel="0" collapsed="false">
      <c r="A470" s="51"/>
      <c r="B470" s="54"/>
      <c r="C470" s="20"/>
      <c r="D470" s="20"/>
      <c r="E470" s="20"/>
      <c r="F470" s="20"/>
      <c r="G470" s="20"/>
      <c r="H470" s="11" t="str">
        <f aca="false">IF(B470="","",IFERROR(INDEX(Program!$H$2:$H$75,MATCH(B470,Program!$D$2:$D$75,0)),""))</f>
        <v/>
      </c>
      <c r="I470" s="11" t="str">
        <f aca="false">IF(B470="","",IFERROR(INDEX(Program!$I$2:$I$75,MATCH(B470,Program!$D$2:$D$75,0)),""))</f>
        <v/>
      </c>
      <c r="J470" s="11" t="str">
        <f aca="false">IF(COUNT(D470:G470)=0,"",COUNT(D470:G470))</f>
        <v/>
      </c>
      <c r="K470" s="12" t="str">
        <f aca="false">IF(OR(J470="",I470=""),"",IF(MIN(D470:G470)&gt;=I470,"Add load (smallest step)",IF(MAX(D470:G470)&lt;H470,"Below range: if again, drop 5–10%","Same load, add reps")))</f>
        <v/>
      </c>
      <c r="L470" s="20"/>
      <c r="M470" s="11" t="str">
        <f aca="false">IF(OR(L470="",C470="",H470="",C470=0),"",MAX(H470,ROUNDUP(30*((L470/C470)*(1+H470/30)-1),0)))</f>
        <v/>
      </c>
    </row>
    <row r="471" customFormat="false" ht="15" hidden="false" customHeight="false" outlineLevel="0" collapsed="false">
      <c r="A471" s="51"/>
      <c r="B471" s="54"/>
      <c r="C471" s="20"/>
      <c r="D471" s="20"/>
      <c r="E471" s="20"/>
      <c r="F471" s="20"/>
      <c r="G471" s="20"/>
      <c r="H471" s="11" t="str">
        <f aca="false">IF(B471="","",IFERROR(INDEX(Program!$H$2:$H$75,MATCH(B471,Program!$D$2:$D$75,0)),""))</f>
        <v/>
      </c>
      <c r="I471" s="11" t="str">
        <f aca="false">IF(B471="","",IFERROR(INDEX(Program!$I$2:$I$75,MATCH(B471,Program!$D$2:$D$75,0)),""))</f>
        <v/>
      </c>
      <c r="J471" s="11" t="str">
        <f aca="false">IF(COUNT(D471:G471)=0,"",COUNT(D471:G471))</f>
        <v/>
      </c>
      <c r="K471" s="12" t="str">
        <f aca="false">IF(OR(J471="",I471=""),"",IF(MIN(D471:G471)&gt;=I471,"Add load (smallest step)",IF(MAX(D471:G471)&lt;H471,"Below range: if again, drop 5–10%","Same load, add reps")))</f>
        <v/>
      </c>
      <c r="L471" s="20"/>
      <c r="M471" s="11" t="str">
        <f aca="false">IF(OR(L471="",C471="",H471="",C471=0),"",MAX(H471,ROUNDUP(30*((L471/C471)*(1+H471/30)-1),0)))</f>
        <v/>
      </c>
    </row>
    <row r="472" customFormat="false" ht="15" hidden="false" customHeight="false" outlineLevel="0" collapsed="false">
      <c r="A472" s="51"/>
      <c r="B472" s="54"/>
      <c r="C472" s="20"/>
      <c r="D472" s="20"/>
      <c r="E472" s="20"/>
      <c r="F472" s="20"/>
      <c r="G472" s="20"/>
      <c r="H472" s="11" t="str">
        <f aca="false">IF(B472="","",IFERROR(INDEX(Program!$H$2:$H$75,MATCH(B472,Program!$D$2:$D$75,0)),""))</f>
        <v/>
      </c>
      <c r="I472" s="11" t="str">
        <f aca="false">IF(B472="","",IFERROR(INDEX(Program!$I$2:$I$75,MATCH(B472,Program!$D$2:$D$75,0)),""))</f>
        <v/>
      </c>
      <c r="J472" s="11" t="str">
        <f aca="false">IF(COUNT(D472:G472)=0,"",COUNT(D472:G472))</f>
        <v/>
      </c>
      <c r="K472" s="12" t="str">
        <f aca="false">IF(OR(J472="",I472=""),"",IF(MIN(D472:G472)&gt;=I472,"Add load (smallest step)",IF(MAX(D472:G472)&lt;H472,"Below range: if again, drop 5–10%","Same load, add reps")))</f>
        <v/>
      </c>
      <c r="L472" s="20"/>
      <c r="M472" s="11" t="str">
        <f aca="false">IF(OR(L472="",C472="",H472="",C472=0),"",MAX(H472,ROUNDUP(30*((L472/C472)*(1+H472/30)-1),0)))</f>
        <v/>
      </c>
    </row>
    <row r="473" customFormat="false" ht="15" hidden="false" customHeight="false" outlineLevel="0" collapsed="false">
      <c r="A473" s="51"/>
      <c r="B473" s="54"/>
      <c r="C473" s="20"/>
      <c r="D473" s="20"/>
      <c r="E473" s="20"/>
      <c r="F473" s="20"/>
      <c r="G473" s="20"/>
      <c r="H473" s="11" t="str">
        <f aca="false">IF(B473="","",IFERROR(INDEX(Program!$H$2:$H$75,MATCH(B473,Program!$D$2:$D$75,0)),""))</f>
        <v/>
      </c>
      <c r="I473" s="11" t="str">
        <f aca="false">IF(B473="","",IFERROR(INDEX(Program!$I$2:$I$75,MATCH(B473,Program!$D$2:$D$75,0)),""))</f>
        <v/>
      </c>
      <c r="J473" s="11" t="str">
        <f aca="false">IF(COUNT(D473:G473)=0,"",COUNT(D473:G473))</f>
        <v/>
      </c>
      <c r="K473" s="12" t="str">
        <f aca="false">IF(OR(J473="",I473=""),"",IF(MIN(D473:G473)&gt;=I473,"Add load (smallest step)",IF(MAX(D473:G473)&lt;H473,"Below range: if again, drop 5–10%","Same load, add reps")))</f>
        <v/>
      </c>
      <c r="L473" s="20"/>
      <c r="M473" s="11" t="str">
        <f aca="false">IF(OR(L473="",C473="",H473="",C473=0),"",MAX(H473,ROUNDUP(30*((L473/C473)*(1+H473/30)-1),0)))</f>
        <v/>
      </c>
    </row>
    <row r="474" customFormat="false" ht="15" hidden="false" customHeight="false" outlineLevel="0" collapsed="false">
      <c r="A474" s="51"/>
      <c r="B474" s="54"/>
      <c r="C474" s="20"/>
      <c r="D474" s="20"/>
      <c r="E474" s="20"/>
      <c r="F474" s="20"/>
      <c r="G474" s="20"/>
      <c r="H474" s="11" t="str">
        <f aca="false">IF(B474="","",IFERROR(INDEX(Program!$H$2:$H$75,MATCH(B474,Program!$D$2:$D$75,0)),""))</f>
        <v/>
      </c>
      <c r="I474" s="11" t="str">
        <f aca="false">IF(B474="","",IFERROR(INDEX(Program!$I$2:$I$75,MATCH(B474,Program!$D$2:$D$75,0)),""))</f>
        <v/>
      </c>
      <c r="J474" s="11" t="str">
        <f aca="false">IF(COUNT(D474:G474)=0,"",COUNT(D474:G474))</f>
        <v/>
      </c>
      <c r="K474" s="12" t="str">
        <f aca="false">IF(OR(J474="",I474=""),"",IF(MIN(D474:G474)&gt;=I474,"Add load (smallest step)",IF(MAX(D474:G474)&lt;H474,"Below range: if again, drop 5–10%","Same load, add reps")))</f>
        <v/>
      </c>
      <c r="L474" s="20"/>
      <c r="M474" s="11" t="str">
        <f aca="false">IF(OR(L474="",C474="",H474="",C474=0),"",MAX(H474,ROUNDUP(30*((L474/C474)*(1+H474/30)-1),0)))</f>
        <v/>
      </c>
    </row>
    <row r="475" customFormat="false" ht="15" hidden="false" customHeight="false" outlineLevel="0" collapsed="false">
      <c r="A475" s="51"/>
      <c r="B475" s="54"/>
      <c r="C475" s="20"/>
      <c r="D475" s="20"/>
      <c r="E475" s="20"/>
      <c r="F475" s="20"/>
      <c r="G475" s="20"/>
      <c r="H475" s="11" t="str">
        <f aca="false">IF(B475="","",IFERROR(INDEX(Program!$H$2:$H$75,MATCH(B475,Program!$D$2:$D$75,0)),""))</f>
        <v/>
      </c>
      <c r="I475" s="11" t="str">
        <f aca="false">IF(B475="","",IFERROR(INDEX(Program!$I$2:$I$75,MATCH(B475,Program!$D$2:$D$75,0)),""))</f>
        <v/>
      </c>
      <c r="J475" s="11" t="str">
        <f aca="false">IF(COUNT(D475:G475)=0,"",COUNT(D475:G475))</f>
        <v/>
      </c>
      <c r="K475" s="12" t="str">
        <f aca="false">IF(OR(J475="",I475=""),"",IF(MIN(D475:G475)&gt;=I475,"Add load (smallest step)",IF(MAX(D475:G475)&lt;H475,"Below range: if again, drop 5–10%","Same load, add reps")))</f>
        <v/>
      </c>
      <c r="L475" s="20"/>
      <c r="M475" s="11" t="str">
        <f aca="false">IF(OR(L475="",C475="",H475="",C475=0),"",MAX(H475,ROUNDUP(30*((L475/C475)*(1+H475/30)-1),0)))</f>
        <v/>
      </c>
    </row>
    <row r="476" customFormat="false" ht="15" hidden="false" customHeight="false" outlineLevel="0" collapsed="false">
      <c r="A476" s="51"/>
      <c r="B476" s="54"/>
      <c r="C476" s="20"/>
      <c r="D476" s="20"/>
      <c r="E476" s="20"/>
      <c r="F476" s="20"/>
      <c r="G476" s="20"/>
      <c r="H476" s="11" t="str">
        <f aca="false">IF(B476="","",IFERROR(INDEX(Program!$H$2:$H$75,MATCH(B476,Program!$D$2:$D$75,0)),""))</f>
        <v/>
      </c>
      <c r="I476" s="11" t="str">
        <f aca="false">IF(B476="","",IFERROR(INDEX(Program!$I$2:$I$75,MATCH(B476,Program!$D$2:$D$75,0)),""))</f>
        <v/>
      </c>
      <c r="J476" s="11" t="str">
        <f aca="false">IF(COUNT(D476:G476)=0,"",COUNT(D476:G476))</f>
        <v/>
      </c>
      <c r="K476" s="12" t="str">
        <f aca="false">IF(OR(J476="",I476=""),"",IF(MIN(D476:G476)&gt;=I476,"Add load (smallest step)",IF(MAX(D476:G476)&lt;H476,"Below range: if again, drop 5–10%","Same load, add reps")))</f>
        <v/>
      </c>
      <c r="L476" s="20"/>
      <c r="M476" s="11" t="str">
        <f aca="false">IF(OR(L476="",C476="",H476="",C476=0),"",MAX(H476,ROUNDUP(30*((L476/C476)*(1+H476/30)-1),0)))</f>
        <v/>
      </c>
    </row>
    <row r="477" customFormat="false" ht="15" hidden="false" customHeight="false" outlineLevel="0" collapsed="false">
      <c r="A477" s="51"/>
      <c r="B477" s="54"/>
      <c r="C477" s="20"/>
      <c r="D477" s="20"/>
      <c r="E477" s="20"/>
      <c r="F477" s="20"/>
      <c r="G477" s="20"/>
      <c r="H477" s="11" t="str">
        <f aca="false">IF(B477="","",IFERROR(INDEX(Program!$H$2:$H$75,MATCH(B477,Program!$D$2:$D$75,0)),""))</f>
        <v/>
      </c>
      <c r="I477" s="11" t="str">
        <f aca="false">IF(B477="","",IFERROR(INDEX(Program!$I$2:$I$75,MATCH(B477,Program!$D$2:$D$75,0)),""))</f>
        <v/>
      </c>
      <c r="J477" s="11" t="str">
        <f aca="false">IF(COUNT(D477:G477)=0,"",COUNT(D477:G477))</f>
        <v/>
      </c>
      <c r="K477" s="12" t="str">
        <f aca="false">IF(OR(J477="",I477=""),"",IF(MIN(D477:G477)&gt;=I477,"Add load (smallest step)",IF(MAX(D477:G477)&lt;H477,"Below range: if again, drop 5–10%","Same load, add reps")))</f>
        <v/>
      </c>
      <c r="L477" s="20"/>
      <c r="M477" s="11" t="str">
        <f aca="false">IF(OR(L477="",C477="",H477="",C477=0),"",MAX(H477,ROUNDUP(30*((L477/C477)*(1+H477/30)-1),0)))</f>
        <v/>
      </c>
    </row>
    <row r="478" customFormat="false" ht="15" hidden="false" customHeight="false" outlineLevel="0" collapsed="false">
      <c r="A478" s="51"/>
      <c r="B478" s="54"/>
      <c r="C478" s="20"/>
      <c r="D478" s="20"/>
      <c r="E478" s="20"/>
      <c r="F478" s="20"/>
      <c r="G478" s="20"/>
      <c r="H478" s="11" t="str">
        <f aca="false">IF(B478="","",IFERROR(INDEX(Program!$H$2:$H$75,MATCH(B478,Program!$D$2:$D$75,0)),""))</f>
        <v/>
      </c>
      <c r="I478" s="11" t="str">
        <f aca="false">IF(B478="","",IFERROR(INDEX(Program!$I$2:$I$75,MATCH(B478,Program!$D$2:$D$75,0)),""))</f>
        <v/>
      </c>
      <c r="J478" s="11" t="str">
        <f aca="false">IF(COUNT(D478:G478)=0,"",COUNT(D478:G478))</f>
        <v/>
      </c>
      <c r="K478" s="12" t="str">
        <f aca="false">IF(OR(J478="",I478=""),"",IF(MIN(D478:G478)&gt;=I478,"Add load (smallest step)",IF(MAX(D478:G478)&lt;H478,"Below range: if again, drop 5–10%","Same load, add reps")))</f>
        <v/>
      </c>
      <c r="L478" s="20"/>
      <c r="M478" s="11" t="str">
        <f aca="false">IF(OR(L478="",C478="",H478="",C478=0),"",MAX(H478,ROUNDUP(30*((L478/C478)*(1+H478/30)-1),0)))</f>
        <v/>
      </c>
    </row>
    <row r="479" customFormat="false" ht="15" hidden="false" customHeight="false" outlineLevel="0" collapsed="false">
      <c r="A479" s="51"/>
      <c r="B479" s="54"/>
      <c r="C479" s="20"/>
      <c r="D479" s="20"/>
      <c r="E479" s="20"/>
      <c r="F479" s="20"/>
      <c r="G479" s="20"/>
      <c r="H479" s="11" t="str">
        <f aca="false">IF(B479="","",IFERROR(INDEX(Program!$H$2:$H$75,MATCH(B479,Program!$D$2:$D$75,0)),""))</f>
        <v/>
      </c>
      <c r="I479" s="11" t="str">
        <f aca="false">IF(B479="","",IFERROR(INDEX(Program!$I$2:$I$75,MATCH(B479,Program!$D$2:$D$75,0)),""))</f>
        <v/>
      </c>
      <c r="J479" s="11" t="str">
        <f aca="false">IF(COUNT(D479:G479)=0,"",COUNT(D479:G479))</f>
        <v/>
      </c>
      <c r="K479" s="12" t="str">
        <f aca="false">IF(OR(J479="",I479=""),"",IF(MIN(D479:G479)&gt;=I479,"Add load (smallest step)",IF(MAX(D479:G479)&lt;H479,"Below range: if again, drop 5–10%","Same load, add reps")))</f>
        <v/>
      </c>
      <c r="L479" s="20"/>
      <c r="M479" s="11" t="str">
        <f aca="false">IF(OR(L479="",C479="",H479="",C479=0),"",MAX(H479,ROUNDUP(30*((L479/C479)*(1+H479/30)-1),0)))</f>
        <v/>
      </c>
    </row>
    <row r="480" customFormat="false" ht="15" hidden="false" customHeight="false" outlineLevel="0" collapsed="false">
      <c r="A480" s="51"/>
      <c r="B480" s="54"/>
      <c r="C480" s="20"/>
      <c r="D480" s="20"/>
      <c r="E480" s="20"/>
      <c r="F480" s="20"/>
      <c r="G480" s="20"/>
      <c r="H480" s="11" t="str">
        <f aca="false">IF(B480="","",IFERROR(INDEX(Program!$H$2:$H$75,MATCH(B480,Program!$D$2:$D$75,0)),""))</f>
        <v/>
      </c>
      <c r="I480" s="11" t="str">
        <f aca="false">IF(B480="","",IFERROR(INDEX(Program!$I$2:$I$75,MATCH(B480,Program!$D$2:$D$75,0)),""))</f>
        <v/>
      </c>
      <c r="J480" s="11" t="str">
        <f aca="false">IF(COUNT(D480:G480)=0,"",COUNT(D480:G480))</f>
        <v/>
      </c>
      <c r="K480" s="12" t="str">
        <f aca="false">IF(OR(J480="",I480=""),"",IF(MIN(D480:G480)&gt;=I480,"Add load (smallest step)",IF(MAX(D480:G480)&lt;H480,"Below range: if again, drop 5–10%","Same load, add reps")))</f>
        <v/>
      </c>
      <c r="L480" s="20"/>
      <c r="M480" s="11" t="str">
        <f aca="false">IF(OR(L480="",C480="",H480="",C480=0),"",MAX(H480,ROUNDUP(30*((L480/C480)*(1+H480/30)-1),0)))</f>
        <v/>
      </c>
    </row>
    <row r="481" customFormat="false" ht="15" hidden="false" customHeight="false" outlineLevel="0" collapsed="false">
      <c r="A481" s="51"/>
      <c r="B481" s="54"/>
      <c r="C481" s="20"/>
      <c r="D481" s="20"/>
      <c r="E481" s="20"/>
      <c r="F481" s="20"/>
      <c r="G481" s="20"/>
      <c r="H481" s="11" t="str">
        <f aca="false">IF(B481="","",IFERROR(INDEX(Program!$H$2:$H$75,MATCH(B481,Program!$D$2:$D$75,0)),""))</f>
        <v/>
      </c>
      <c r="I481" s="11" t="str">
        <f aca="false">IF(B481="","",IFERROR(INDEX(Program!$I$2:$I$75,MATCH(B481,Program!$D$2:$D$75,0)),""))</f>
        <v/>
      </c>
      <c r="J481" s="11" t="str">
        <f aca="false">IF(COUNT(D481:G481)=0,"",COUNT(D481:G481))</f>
        <v/>
      </c>
      <c r="K481" s="12" t="str">
        <f aca="false">IF(OR(J481="",I481=""),"",IF(MIN(D481:G481)&gt;=I481,"Add load (smallest step)",IF(MAX(D481:G481)&lt;H481,"Below range: if again, drop 5–10%","Same load, add reps")))</f>
        <v/>
      </c>
      <c r="L481" s="20"/>
      <c r="M481" s="11" t="str">
        <f aca="false">IF(OR(L481="",C481="",H481="",C481=0),"",MAX(H481,ROUNDUP(30*((L481/C481)*(1+H481/30)-1),0)))</f>
        <v/>
      </c>
    </row>
    <row r="482" customFormat="false" ht="15" hidden="false" customHeight="false" outlineLevel="0" collapsed="false">
      <c r="A482" s="51"/>
      <c r="B482" s="54"/>
      <c r="C482" s="20"/>
      <c r="D482" s="20"/>
      <c r="E482" s="20"/>
      <c r="F482" s="20"/>
      <c r="G482" s="20"/>
      <c r="H482" s="11" t="str">
        <f aca="false">IF(B482="","",IFERROR(INDEX(Program!$H$2:$H$75,MATCH(B482,Program!$D$2:$D$75,0)),""))</f>
        <v/>
      </c>
      <c r="I482" s="11" t="str">
        <f aca="false">IF(B482="","",IFERROR(INDEX(Program!$I$2:$I$75,MATCH(B482,Program!$D$2:$D$75,0)),""))</f>
        <v/>
      </c>
      <c r="J482" s="11" t="str">
        <f aca="false">IF(COUNT(D482:G482)=0,"",COUNT(D482:G482))</f>
        <v/>
      </c>
      <c r="K482" s="12" t="str">
        <f aca="false">IF(OR(J482="",I482=""),"",IF(MIN(D482:G482)&gt;=I482,"Add load (smallest step)",IF(MAX(D482:G482)&lt;H482,"Below range: if again, drop 5–10%","Same load, add reps")))</f>
        <v/>
      </c>
      <c r="L482" s="20"/>
      <c r="M482" s="11" t="str">
        <f aca="false">IF(OR(L482="",C482="",H482="",C482=0),"",MAX(H482,ROUNDUP(30*((L482/C482)*(1+H482/30)-1),0)))</f>
        <v/>
      </c>
    </row>
    <row r="483" customFormat="false" ht="15" hidden="false" customHeight="false" outlineLevel="0" collapsed="false">
      <c r="A483" s="51"/>
      <c r="B483" s="54"/>
      <c r="C483" s="20"/>
      <c r="D483" s="20"/>
      <c r="E483" s="20"/>
      <c r="F483" s="20"/>
      <c r="G483" s="20"/>
      <c r="H483" s="11" t="str">
        <f aca="false">IF(B483="","",IFERROR(INDEX(Program!$H$2:$H$75,MATCH(B483,Program!$D$2:$D$75,0)),""))</f>
        <v/>
      </c>
      <c r="I483" s="11" t="str">
        <f aca="false">IF(B483="","",IFERROR(INDEX(Program!$I$2:$I$75,MATCH(B483,Program!$D$2:$D$75,0)),""))</f>
        <v/>
      </c>
      <c r="J483" s="11" t="str">
        <f aca="false">IF(COUNT(D483:G483)=0,"",COUNT(D483:G483))</f>
        <v/>
      </c>
      <c r="K483" s="12" t="str">
        <f aca="false">IF(OR(J483="",I483=""),"",IF(MIN(D483:G483)&gt;=I483,"Add load (smallest step)",IF(MAX(D483:G483)&lt;H483,"Below range: if again, drop 5–10%","Same load, add reps")))</f>
        <v/>
      </c>
      <c r="L483" s="20"/>
      <c r="M483" s="11" t="str">
        <f aca="false">IF(OR(L483="",C483="",H483="",C483=0),"",MAX(H483,ROUNDUP(30*((L483/C483)*(1+H483/30)-1),0)))</f>
        <v/>
      </c>
    </row>
    <row r="484" customFormat="false" ht="15" hidden="false" customHeight="false" outlineLevel="0" collapsed="false">
      <c r="A484" s="51"/>
      <c r="B484" s="54"/>
      <c r="C484" s="20"/>
      <c r="D484" s="20"/>
      <c r="E484" s="20"/>
      <c r="F484" s="20"/>
      <c r="G484" s="20"/>
      <c r="H484" s="11" t="str">
        <f aca="false">IF(B484="","",IFERROR(INDEX(Program!$H$2:$H$75,MATCH(B484,Program!$D$2:$D$75,0)),""))</f>
        <v/>
      </c>
      <c r="I484" s="11" t="str">
        <f aca="false">IF(B484="","",IFERROR(INDEX(Program!$I$2:$I$75,MATCH(B484,Program!$D$2:$D$75,0)),""))</f>
        <v/>
      </c>
      <c r="J484" s="11" t="str">
        <f aca="false">IF(COUNT(D484:G484)=0,"",COUNT(D484:G484))</f>
        <v/>
      </c>
      <c r="K484" s="12" t="str">
        <f aca="false">IF(OR(J484="",I484=""),"",IF(MIN(D484:G484)&gt;=I484,"Add load (smallest step)",IF(MAX(D484:G484)&lt;H484,"Below range: if again, drop 5–10%","Same load, add reps")))</f>
        <v/>
      </c>
      <c r="L484" s="20"/>
      <c r="M484" s="11" t="str">
        <f aca="false">IF(OR(L484="",C484="",H484="",C484=0),"",MAX(H484,ROUNDUP(30*((L484/C484)*(1+H484/30)-1),0)))</f>
        <v/>
      </c>
    </row>
    <row r="485" customFormat="false" ht="15" hidden="false" customHeight="false" outlineLevel="0" collapsed="false">
      <c r="A485" s="51"/>
      <c r="B485" s="54"/>
      <c r="C485" s="20"/>
      <c r="D485" s="20"/>
      <c r="E485" s="20"/>
      <c r="F485" s="20"/>
      <c r="G485" s="20"/>
      <c r="H485" s="11" t="str">
        <f aca="false">IF(B485="","",IFERROR(INDEX(Program!$H$2:$H$75,MATCH(B485,Program!$D$2:$D$75,0)),""))</f>
        <v/>
      </c>
      <c r="I485" s="11" t="str">
        <f aca="false">IF(B485="","",IFERROR(INDEX(Program!$I$2:$I$75,MATCH(B485,Program!$D$2:$D$75,0)),""))</f>
        <v/>
      </c>
      <c r="J485" s="11" t="str">
        <f aca="false">IF(COUNT(D485:G485)=0,"",COUNT(D485:G485))</f>
        <v/>
      </c>
      <c r="K485" s="12" t="str">
        <f aca="false">IF(OR(J485="",I485=""),"",IF(MIN(D485:G485)&gt;=I485,"Add load (smallest step)",IF(MAX(D485:G485)&lt;H485,"Below range: if again, drop 5–10%","Same load, add reps")))</f>
        <v/>
      </c>
      <c r="L485" s="20"/>
      <c r="M485" s="11" t="str">
        <f aca="false">IF(OR(L485="",C485="",H485="",C485=0),"",MAX(H485,ROUNDUP(30*((L485/C485)*(1+H485/30)-1),0)))</f>
        <v/>
      </c>
    </row>
    <row r="486" customFormat="false" ht="15" hidden="false" customHeight="false" outlineLevel="0" collapsed="false">
      <c r="A486" s="51"/>
      <c r="B486" s="54"/>
      <c r="C486" s="20"/>
      <c r="D486" s="20"/>
      <c r="E486" s="20"/>
      <c r="F486" s="20"/>
      <c r="G486" s="20"/>
      <c r="H486" s="11" t="str">
        <f aca="false">IF(B486="","",IFERROR(INDEX(Program!$H$2:$H$75,MATCH(B486,Program!$D$2:$D$75,0)),""))</f>
        <v/>
      </c>
      <c r="I486" s="11" t="str">
        <f aca="false">IF(B486="","",IFERROR(INDEX(Program!$I$2:$I$75,MATCH(B486,Program!$D$2:$D$75,0)),""))</f>
        <v/>
      </c>
      <c r="J486" s="11" t="str">
        <f aca="false">IF(COUNT(D486:G486)=0,"",COUNT(D486:G486))</f>
        <v/>
      </c>
      <c r="K486" s="12" t="str">
        <f aca="false">IF(OR(J486="",I486=""),"",IF(MIN(D486:G486)&gt;=I486,"Add load (smallest step)",IF(MAX(D486:G486)&lt;H486,"Below range: if again, drop 5–10%","Same load, add reps")))</f>
        <v/>
      </c>
      <c r="L486" s="20"/>
      <c r="M486" s="11" t="str">
        <f aca="false">IF(OR(L486="",C486="",H486="",C486=0),"",MAX(H486,ROUNDUP(30*((L486/C486)*(1+H486/30)-1),0)))</f>
        <v/>
      </c>
    </row>
    <row r="487" customFormat="false" ht="15" hidden="false" customHeight="false" outlineLevel="0" collapsed="false">
      <c r="A487" s="51"/>
      <c r="B487" s="54"/>
      <c r="C487" s="20"/>
      <c r="D487" s="20"/>
      <c r="E487" s="20"/>
      <c r="F487" s="20"/>
      <c r="G487" s="20"/>
      <c r="H487" s="11" t="str">
        <f aca="false">IF(B487="","",IFERROR(INDEX(Program!$H$2:$H$75,MATCH(B487,Program!$D$2:$D$75,0)),""))</f>
        <v/>
      </c>
      <c r="I487" s="11" t="str">
        <f aca="false">IF(B487="","",IFERROR(INDEX(Program!$I$2:$I$75,MATCH(B487,Program!$D$2:$D$75,0)),""))</f>
        <v/>
      </c>
      <c r="J487" s="11" t="str">
        <f aca="false">IF(COUNT(D487:G487)=0,"",COUNT(D487:G487))</f>
        <v/>
      </c>
      <c r="K487" s="12" t="str">
        <f aca="false">IF(OR(J487="",I487=""),"",IF(MIN(D487:G487)&gt;=I487,"Add load (smallest step)",IF(MAX(D487:G487)&lt;H487,"Below range: if again, drop 5–10%","Same load, add reps")))</f>
        <v/>
      </c>
      <c r="L487" s="20"/>
      <c r="M487" s="11" t="str">
        <f aca="false">IF(OR(L487="",C487="",H487="",C487=0),"",MAX(H487,ROUNDUP(30*((L487/C487)*(1+H487/30)-1),0)))</f>
        <v/>
      </c>
    </row>
    <row r="488" customFormat="false" ht="15" hidden="false" customHeight="false" outlineLevel="0" collapsed="false">
      <c r="A488" s="51"/>
      <c r="B488" s="54"/>
      <c r="C488" s="20"/>
      <c r="D488" s="20"/>
      <c r="E488" s="20"/>
      <c r="F488" s="20"/>
      <c r="G488" s="20"/>
      <c r="H488" s="11" t="str">
        <f aca="false">IF(B488="","",IFERROR(INDEX(Program!$H$2:$H$75,MATCH(B488,Program!$D$2:$D$75,0)),""))</f>
        <v/>
      </c>
      <c r="I488" s="11" t="str">
        <f aca="false">IF(B488="","",IFERROR(INDEX(Program!$I$2:$I$75,MATCH(B488,Program!$D$2:$D$75,0)),""))</f>
        <v/>
      </c>
      <c r="J488" s="11" t="str">
        <f aca="false">IF(COUNT(D488:G488)=0,"",COUNT(D488:G488))</f>
        <v/>
      </c>
      <c r="K488" s="12" t="str">
        <f aca="false">IF(OR(J488="",I488=""),"",IF(MIN(D488:G488)&gt;=I488,"Add load (smallest step)",IF(MAX(D488:G488)&lt;H488,"Below range: if again, drop 5–10%","Same load, add reps")))</f>
        <v/>
      </c>
      <c r="L488" s="20"/>
      <c r="M488" s="11" t="str">
        <f aca="false">IF(OR(L488="",C488="",H488="",C488=0),"",MAX(H488,ROUNDUP(30*((L488/C488)*(1+H488/30)-1),0)))</f>
        <v/>
      </c>
    </row>
    <row r="489" customFormat="false" ht="15" hidden="false" customHeight="false" outlineLevel="0" collapsed="false">
      <c r="A489" s="51"/>
      <c r="B489" s="54"/>
      <c r="C489" s="20"/>
      <c r="D489" s="20"/>
      <c r="E489" s="20"/>
      <c r="F489" s="20"/>
      <c r="G489" s="20"/>
      <c r="H489" s="11" t="str">
        <f aca="false">IF(B489="","",IFERROR(INDEX(Program!$H$2:$H$75,MATCH(B489,Program!$D$2:$D$75,0)),""))</f>
        <v/>
      </c>
      <c r="I489" s="11" t="str">
        <f aca="false">IF(B489="","",IFERROR(INDEX(Program!$I$2:$I$75,MATCH(B489,Program!$D$2:$D$75,0)),""))</f>
        <v/>
      </c>
      <c r="J489" s="11" t="str">
        <f aca="false">IF(COUNT(D489:G489)=0,"",COUNT(D489:G489))</f>
        <v/>
      </c>
      <c r="K489" s="12" t="str">
        <f aca="false">IF(OR(J489="",I489=""),"",IF(MIN(D489:G489)&gt;=I489,"Add load (smallest step)",IF(MAX(D489:G489)&lt;H489,"Below range: if again, drop 5–10%","Same load, add reps")))</f>
        <v/>
      </c>
      <c r="L489" s="20"/>
      <c r="M489" s="11" t="str">
        <f aca="false">IF(OR(L489="",C489="",H489="",C489=0),"",MAX(H489,ROUNDUP(30*((L489/C489)*(1+H489/30)-1),0)))</f>
        <v/>
      </c>
    </row>
    <row r="490" customFormat="false" ht="15" hidden="false" customHeight="false" outlineLevel="0" collapsed="false">
      <c r="A490" s="51"/>
      <c r="B490" s="54"/>
      <c r="C490" s="20"/>
      <c r="D490" s="20"/>
      <c r="E490" s="20"/>
      <c r="F490" s="20"/>
      <c r="G490" s="20"/>
      <c r="H490" s="11" t="str">
        <f aca="false">IF(B490="","",IFERROR(INDEX(Program!$H$2:$H$75,MATCH(B490,Program!$D$2:$D$75,0)),""))</f>
        <v/>
      </c>
      <c r="I490" s="11" t="str">
        <f aca="false">IF(B490="","",IFERROR(INDEX(Program!$I$2:$I$75,MATCH(B490,Program!$D$2:$D$75,0)),""))</f>
        <v/>
      </c>
      <c r="J490" s="11" t="str">
        <f aca="false">IF(COUNT(D490:G490)=0,"",COUNT(D490:G490))</f>
        <v/>
      </c>
      <c r="K490" s="12" t="str">
        <f aca="false">IF(OR(J490="",I490=""),"",IF(MIN(D490:G490)&gt;=I490,"Add load (smallest step)",IF(MAX(D490:G490)&lt;H490,"Below range: if again, drop 5–10%","Same load, add reps")))</f>
        <v/>
      </c>
      <c r="L490" s="20"/>
      <c r="M490" s="11" t="str">
        <f aca="false">IF(OR(L490="",C490="",H490="",C490=0),"",MAX(H490,ROUNDUP(30*((L490/C490)*(1+H490/30)-1),0)))</f>
        <v/>
      </c>
    </row>
    <row r="491" customFormat="false" ht="15" hidden="false" customHeight="false" outlineLevel="0" collapsed="false">
      <c r="A491" s="51"/>
      <c r="B491" s="54"/>
      <c r="C491" s="20"/>
      <c r="D491" s="20"/>
      <c r="E491" s="20"/>
      <c r="F491" s="20"/>
      <c r="G491" s="20"/>
      <c r="H491" s="11" t="str">
        <f aca="false">IF(B491="","",IFERROR(INDEX(Program!$H$2:$H$75,MATCH(B491,Program!$D$2:$D$75,0)),""))</f>
        <v/>
      </c>
      <c r="I491" s="11" t="str">
        <f aca="false">IF(B491="","",IFERROR(INDEX(Program!$I$2:$I$75,MATCH(B491,Program!$D$2:$D$75,0)),""))</f>
        <v/>
      </c>
      <c r="J491" s="11" t="str">
        <f aca="false">IF(COUNT(D491:G491)=0,"",COUNT(D491:G491))</f>
        <v/>
      </c>
      <c r="K491" s="12" t="str">
        <f aca="false">IF(OR(J491="",I491=""),"",IF(MIN(D491:G491)&gt;=I491,"Add load (smallest step)",IF(MAX(D491:G491)&lt;H491,"Below range: if again, drop 5–10%","Same load, add reps")))</f>
        <v/>
      </c>
      <c r="L491" s="20"/>
      <c r="M491" s="11" t="str">
        <f aca="false">IF(OR(L491="",C491="",H491="",C491=0),"",MAX(H491,ROUNDUP(30*((L491/C491)*(1+H491/30)-1),0)))</f>
        <v/>
      </c>
    </row>
    <row r="492" customFormat="false" ht="15" hidden="false" customHeight="false" outlineLevel="0" collapsed="false">
      <c r="A492" s="51"/>
      <c r="B492" s="54"/>
      <c r="C492" s="20"/>
      <c r="D492" s="20"/>
      <c r="E492" s="20"/>
      <c r="F492" s="20"/>
      <c r="G492" s="20"/>
      <c r="H492" s="11" t="str">
        <f aca="false">IF(B492="","",IFERROR(INDEX(Program!$H$2:$H$75,MATCH(B492,Program!$D$2:$D$75,0)),""))</f>
        <v/>
      </c>
      <c r="I492" s="11" t="str">
        <f aca="false">IF(B492="","",IFERROR(INDEX(Program!$I$2:$I$75,MATCH(B492,Program!$D$2:$D$75,0)),""))</f>
        <v/>
      </c>
      <c r="J492" s="11" t="str">
        <f aca="false">IF(COUNT(D492:G492)=0,"",COUNT(D492:G492))</f>
        <v/>
      </c>
      <c r="K492" s="12" t="str">
        <f aca="false">IF(OR(J492="",I492=""),"",IF(MIN(D492:G492)&gt;=I492,"Add load (smallest step)",IF(MAX(D492:G492)&lt;H492,"Below range: if again, drop 5–10%","Same load, add reps")))</f>
        <v/>
      </c>
      <c r="L492" s="20"/>
      <c r="M492" s="11" t="str">
        <f aca="false">IF(OR(L492="",C492="",H492="",C492=0),"",MAX(H492,ROUNDUP(30*((L492/C492)*(1+H492/30)-1),0)))</f>
        <v/>
      </c>
    </row>
    <row r="493" customFormat="false" ht="15" hidden="false" customHeight="false" outlineLevel="0" collapsed="false">
      <c r="A493" s="51"/>
      <c r="B493" s="54"/>
      <c r="C493" s="20"/>
      <c r="D493" s="20"/>
      <c r="E493" s="20"/>
      <c r="F493" s="20"/>
      <c r="G493" s="20"/>
      <c r="H493" s="11" t="str">
        <f aca="false">IF(B493="","",IFERROR(INDEX(Program!$H$2:$H$75,MATCH(B493,Program!$D$2:$D$75,0)),""))</f>
        <v/>
      </c>
      <c r="I493" s="11" t="str">
        <f aca="false">IF(B493="","",IFERROR(INDEX(Program!$I$2:$I$75,MATCH(B493,Program!$D$2:$D$75,0)),""))</f>
        <v/>
      </c>
      <c r="J493" s="11" t="str">
        <f aca="false">IF(COUNT(D493:G493)=0,"",COUNT(D493:G493))</f>
        <v/>
      </c>
      <c r="K493" s="12" t="str">
        <f aca="false">IF(OR(J493="",I493=""),"",IF(MIN(D493:G493)&gt;=I493,"Add load (smallest step)",IF(MAX(D493:G493)&lt;H493,"Below range: if again, drop 5–10%","Same load, add reps")))</f>
        <v/>
      </c>
      <c r="L493" s="20"/>
      <c r="M493" s="11" t="str">
        <f aca="false">IF(OR(L493="",C493="",H493="",C493=0),"",MAX(H493,ROUNDUP(30*((L493/C493)*(1+H493/30)-1),0)))</f>
        <v/>
      </c>
    </row>
    <row r="494" customFormat="false" ht="15" hidden="false" customHeight="false" outlineLevel="0" collapsed="false">
      <c r="A494" s="51"/>
      <c r="B494" s="54"/>
      <c r="C494" s="20"/>
      <c r="D494" s="20"/>
      <c r="E494" s="20"/>
      <c r="F494" s="20"/>
      <c r="G494" s="20"/>
      <c r="H494" s="11" t="str">
        <f aca="false">IF(B494="","",IFERROR(INDEX(Program!$H$2:$H$75,MATCH(B494,Program!$D$2:$D$75,0)),""))</f>
        <v/>
      </c>
      <c r="I494" s="11" t="str">
        <f aca="false">IF(B494="","",IFERROR(INDEX(Program!$I$2:$I$75,MATCH(B494,Program!$D$2:$D$75,0)),""))</f>
        <v/>
      </c>
      <c r="J494" s="11" t="str">
        <f aca="false">IF(COUNT(D494:G494)=0,"",COUNT(D494:G494))</f>
        <v/>
      </c>
      <c r="K494" s="12" t="str">
        <f aca="false">IF(OR(J494="",I494=""),"",IF(MIN(D494:G494)&gt;=I494,"Add load (smallest step)",IF(MAX(D494:G494)&lt;H494,"Below range: if again, drop 5–10%","Same load, add reps")))</f>
        <v/>
      </c>
      <c r="L494" s="20"/>
      <c r="M494" s="11" t="str">
        <f aca="false">IF(OR(L494="",C494="",H494="",C494=0),"",MAX(H494,ROUNDUP(30*((L494/C494)*(1+H494/30)-1),0)))</f>
        <v/>
      </c>
    </row>
    <row r="495" customFormat="false" ht="15" hidden="false" customHeight="false" outlineLevel="0" collapsed="false">
      <c r="A495" s="51"/>
      <c r="B495" s="54"/>
      <c r="C495" s="20"/>
      <c r="D495" s="20"/>
      <c r="E495" s="20"/>
      <c r="F495" s="20"/>
      <c r="G495" s="20"/>
      <c r="H495" s="11" t="str">
        <f aca="false">IF(B495="","",IFERROR(INDEX(Program!$H$2:$H$75,MATCH(B495,Program!$D$2:$D$75,0)),""))</f>
        <v/>
      </c>
      <c r="I495" s="11" t="str">
        <f aca="false">IF(B495="","",IFERROR(INDEX(Program!$I$2:$I$75,MATCH(B495,Program!$D$2:$D$75,0)),""))</f>
        <v/>
      </c>
      <c r="J495" s="11" t="str">
        <f aca="false">IF(COUNT(D495:G495)=0,"",COUNT(D495:G495))</f>
        <v/>
      </c>
      <c r="K495" s="12" t="str">
        <f aca="false">IF(OR(J495="",I495=""),"",IF(MIN(D495:G495)&gt;=I495,"Add load (smallest step)",IF(MAX(D495:G495)&lt;H495,"Below range: if again, drop 5–10%","Same load, add reps")))</f>
        <v/>
      </c>
      <c r="L495" s="20"/>
      <c r="M495" s="11" t="str">
        <f aca="false">IF(OR(L495="",C495="",H495="",C495=0),"",MAX(H495,ROUNDUP(30*((L495/C495)*(1+H495/30)-1),0)))</f>
        <v/>
      </c>
    </row>
    <row r="496" customFormat="false" ht="15" hidden="false" customHeight="false" outlineLevel="0" collapsed="false">
      <c r="A496" s="51"/>
      <c r="B496" s="54"/>
      <c r="C496" s="20"/>
      <c r="D496" s="20"/>
      <c r="E496" s="20"/>
      <c r="F496" s="20"/>
      <c r="G496" s="20"/>
      <c r="H496" s="11" t="str">
        <f aca="false">IF(B496="","",IFERROR(INDEX(Program!$H$2:$H$75,MATCH(B496,Program!$D$2:$D$75,0)),""))</f>
        <v/>
      </c>
      <c r="I496" s="11" t="str">
        <f aca="false">IF(B496="","",IFERROR(INDEX(Program!$I$2:$I$75,MATCH(B496,Program!$D$2:$D$75,0)),""))</f>
        <v/>
      </c>
      <c r="J496" s="11" t="str">
        <f aca="false">IF(COUNT(D496:G496)=0,"",COUNT(D496:G496))</f>
        <v/>
      </c>
      <c r="K496" s="12" t="str">
        <f aca="false">IF(OR(J496="",I496=""),"",IF(MIN(D496:G496)&gt;=I496,"Add load (smallest step)",IF(MAX(D496:G496)&lt;H496,"Below range: if again, drop 5–10%","Same load, add reps")))</f>
        <v/>
      </c>
      <c r="L496" s="20"/>
      <c r="M496" s="11" t="str">
        <f aca="false">IF(OR(L496="",C496="",H496="",C496=0),"",MAX(H496,ROUNDUP(30*((L496/C496)*(1+H496/30)-1),0)))</f>
        <v/>
      </c>
    </row>
    <row r="497" customFormat="false" ht="15" hidden="false" customHeight="false" outlineLevel="0" collapsed="false">
      <c r="A497" s="51"/>
      <c r="B497" s="54"/>
      <c r="C497" s="20"/>
      <c r="D497" s="20"/>
      <c r="E497" s="20"/>
      <c r="F497" s="20"/>
      <c r="G497" s="20"/>
      <c r="H497" s="11" t="str">
        <f aca="false">IF(B497="","",IFERROR(INDEX(Program!$H$2:$H$75,MATCH(B497,Program!$D$2:$D$75,0)),""))</f>
        <v/>
      </c>
      <c r="I497" s="11" t="str">
        <f aca="false">IF(B497="","",IFERROR(INDEX(Program!$I$2:$I$75,MATCH(B497,Program!$D$2:$D$75,0)),""))</f>
        <v/>
      </c>
      <c r="J497" s="11" t="str">
        <f aca="false">IF(COUNT(D497:G497)=0,"",COUNT(D497:G497))</f>
        <v/>
      </c>
      <c r="K497" s="12" t="str">
        <f aca="false">IF(OR(J497="",I497=""),"",IF(MIN(D497:G497)&gt;=I497,"Add load (smallest step)",IF(MAX(D497:G497)&lt;H497,"Below range: if again, drop 5–10%","Same load, add reps")))</f>
        <v/>
      </c>
      <c r="L497" s="20"/>
      <c r="M497" s="11" t="str">
        <f aca="false">IF(OR(L497="",C497="",H497="",C497=0),"",MAX(H497,ROUNDUP(30*((L497/C497)*(1+H497/30)-1),0)))</f>
        <v/>
      </c>
    </row>
    <row r="498" customFormat="false" ht="15" hidden="false" customHeight="false" outlineLevel="0" collapsed="false">
      <c r="A498" s="51"/>
      <c r="B498" s="54"/>
      <c r="C498" s="20"/>
      <c r="D498" s="20"/>
      <c r="E498" s="20"/>
      <c r="F498" s="20"/>
      <c r="G498" s="20"/>
      <c r="H498" s="11" t="str">
        <f aca="false">IF(B498="","",IFERROR(INDEX(Program!$H$2:$H$75,MATCH(B498,Program!$D$2:$D$75,0)),""))</f>
        <v/>
      </c>
      <c r="I498" s="11" t="str">
        <f aca="false">IF(B498="","",IFERROR(INDEX(Program!$I$2:$I$75,MATCH(B498,Program!$D$2:$D$75,0)),""))</f>
        <v/>
      </c>
      <c r="J498" s="11" t="str">
        <f aca="false">IF(COUNT(D498:G498)=0,"",COUNT(D498:G498))</f>
        <v/>
      </c>
      <c r="K498" s="12" t="str">
        <f aca="false">IF(OR(J498="",I498=""),"",IF(MIN(D498:G498)&gt;=I498,"Add load (smallest step)",IF(MAX(D498:G498)&lt;H498,"Below range: if again, drop 5–10%","Same load, add reps")))</f>
        <v/>
      </c>
      <c r="L498" s="20"/>
      <c r="M498" s="11" t="str">
        <f aca="false">IF(OR(L498="",C498="",H498="",C498=0),"",MAX(H498,ROUNDUP(30*((L498/C498)*(1+H498/30)-1),0)))</f>
        <v/>
      </c>
    </row>
    <row r="499" customFormat="false" ht="15" hidden="false" customHeight="false" outlineLevel="0" collapsed="false">
      <c r="A499" s="51"/>
      <c r="B499" s="54"/>
      <c r="C499" s="20"/>
      <c r="D499" s="20"/>
      <c r="E499" s="20"/>
      <c r="F499" s="20"/>
      <c r="G499" s="20"/>
      <c r="H499" s="11" t="str">
        <f aca="false">IF(B499="","",IFERROR(INDEX(Program!$H$2:$H$75,MATCH(B499,Program!$D$2:$D$75,0)),""))</f>
        <v/>
      </c>
      <c r="I499" s="11" t="str">
        <f aca="false">IF(B499="","",IFERROR(INDEX(Program!$I$2:$I$75,MATCH(B499,Program!$D$2:$D$75,0)),""))</f>
        <v/>
      </c>
      <c r="J499" s="11" t="str">
        <f aca="false">IF(COUNT(D499:G499)=0,"",COUNT(D499:G499))</f>
        <v/>
      </c>
      <c r="K499" s="12" t="str">
        <f aca="false">IF(OR(J499="",I499=""),"",IF(MIN(D499:G499)&gt;=I499,"Add load (smallest step)",IF(MAX(D499:G499)&lt;H499,"Below range: if again, drop 5–10%","Same load, add reps")))</f>
        <v/>
      </c>
      <c r="L499" s="20"/>
      <c r="M499" s="11" t="str">
        <f aca="false">IF(OR(L499="",C499="",H499="",C499=0),"",MAX(H499,ROUNDUP(30*((L499/C499)*(1+H499/30)-1),0)))</f>
        <v/>
      </c>
    </row>
    <row r="500" customFormat="false" ht="15" hidden="false" customHeight="false" outlineLevel="0" collapsed="false">
      <c r="A500" s="51"/>
      <c r="B500" s="54"/>
      <c r="C500" s="20"/>
      <c r="D500" s="20"/>
      <c r="E500" s="20"/>
      <c r="F500" s="20"/>
      <c r="G500" s="20"/>
      <c r="H500" s="11" t="str">
        <f aca="false">IF(B500="","",IFERROR(INDEX(Program!$H$2:$H$75,MATCH(B500,Program!$D$2:$D$75,0)),""))</f>
        <v/>
      </c>
      <c r="I500" s="11" t="str">
        <f aca="false">IF(B500="","",IFERROR(INDEX(Program!$I$2:$I$75,MATCH(B500,Program!$D$2:$D$75,0)),""))</f>
        <v/>
      </c>
      <c r="J500" s="11" t="str">
        <f aca="false">IF(COUNT(D500:G500)=0,"",COUNT(D500:G500))</f>
        <v/>
      </c>
      <c r="K500" s="12" t="str">
        <f aca="false">IF(OR(J500="",I500=""),"",IF(MIN(D500:G500)&gt;=I500,"Add load (smallest step)",IF(MAX(D500:G500)&lt;H500,"Below range: if again, drop 5–10%","Same load, add reps")))</f>
        <v/>
      </c>
      <c r="L500" s="20"/>
      <c r="M500" s="11" t="str">
        <f aca="false">IF(OR(L500="",C500="",H500="",C500=0),"",MAX(H500,ROUNDUP(30*((L500/C500)*(1+H500/30)-1),0)))</f>
        <v/>
      </c>
    </row>
    <row r="501" customFormat="false" ht="15" hidden="false" customHeight="false" outlineLevel="0" collapsed="false">
      <c r="A501" s="51"/>
      <c r="B501" s="54"/>
      <c r="C501" s="20"/>
      <c r="D501" s="20"/>
      <c r="E501" s="20"/>
      <c r="F501" s="20"/>
      <c r="G501" s="20"/>
      <c r="H501" s="11" t="str">
        <f aca="false">IF(B501="","",IFERROR(INDEX(Program!$H$2:$H$75,MATCH(B501,Program!$D$2:$D$75,0)),""))</f>
        <v/>
      </c>
      <c r="I501" s="11" t="str">
        <f aca="false">IF(B501="","",IFERROR(INDEX(Program!$I$2:$I$75,MATCH(B501,Program!$D$2:$D$75,0)),""))</f>
        <v/>
      </c>
      <c r="J501" s="11" t="str">
        <f aca="false">IF(COUNT(D501:G501)=0,"",COUNT(D501:G501))</f>
        <v/>
      </c>
      <c r="K501" s="12" t="str">
        <f aca="false">IF(OR(J501="",I501=""),"",IF(MIN(D501:G501)&gt;=I501,"Add load (smallest step)",IF(MAX(D501:G501)&lt;H501,"Below range: if again, drop 5–10%","Same load, add reps")))</f>
        <v/>
      </c>
      <c r="L501" s="20"/>
      <c r="M501" s="11" t="str">
        <f aca="false">IF(OR(L501="",C501="",H501="",C501=0),"",MAX(H501,ROUNDUP(30*((L501/C501)*(1+H501/30)-1),0)))</f>
        <v/>
      </c>
    </row>
    <row r="502" customFormat="false" ht="15" hidden="false" customHeight="false" outlineLevel="0" collapsed="false">
      <c r="A502" s="51"/>
      <c r="B502" s="54"/>
      <c r="C502" s="20"/>
      <c r="D502" s="20"/>
      <c r="E502" s="20"/>
      <c r="F502" s="20"/>
      <c r="G502" s="20"/>
      <c r="H502" s="11" t="str">
        <f aca="false">IF(B502="","",IFERROR(INDEX(Program!$H$2:$H$75,MATCH(B502,Program!$D$2:$D$75,0)),""))</f>
        <v/>
      </c>
      <c r="I502" s="11" t="str">
        <f aca="false">IF(B502="","",IFERROR(INDEX(Program!$I$2:$I$75,MATCH(B502,Program!$D$2:$D$75,0)),""))</f>
        <v/>
      </c>
      <c r="J502" s="11" t="str">
        <f aca="false">IF(COUNT(D502:G502)=0,"",COUNT(D502:G502))</f>
        <v/>
      </c>
      <c r="K502" s="12" t="str">
        <f aca="false">IF(OR(J502="",I502=""),"",IF(MIN(D502:G502)&gt;=I502,"Add load (smallest step)",IF(MAX(D502:G502)&lt;H502,"Below range: if again, drop 5–10%","Same load, add reps")))</f>
        <v/>
      </c>
      <c r="L502" s="20"/>
      <c r="M502" s="11" t="str">
        <f aca="false">IF(OR(L502="",C502="",H502="",C502=0),"",MAX(H502,ROUNDUP(30*((L502/C502)*(1+H502/30)-1),0)))</f>
        <v/>
      </c>
    </row>
    <row r="503" customFormat="false" ht="15" hidden="false" customHeight="false" outlineLevel="0" collapsed="false">
      <c r="A503" s="51"/>
      <c r="B503" s="54"/>
      <c r="C503" s="20"/>
      <c r="D503" s="20"/>
      <c r="E503" s="20"/>
      <c r="F503" s="20"/>
      <c r="G503" s="20"/>
      <c r="H503" s="11" t="str">
        <f aca="false">IF(B503="","",IFERROR(INDEX(Program!$H$2:$H$75,MATCH(B503,Program!$D$2:$D$75,0)),""))</f>
        <v/>
      </c>
      <c r="I503" s="11" t="str">
        <f aca="false">IF(B503="","",IFERROR(INDEX(Program!$I$2:$I$75,MATCH(B503,Program!$D$2:$D$75,0)),""))</f>
        <v/>
      </c>
      <c r="J503" s="11" t="str">
        <f aca="false">IF(COUNT(D503:G503)=0,"",COUNT(D503:G503))</f>
        <v/>
      </c>
      <c r="K503" s="12" t="str">
        <f aca="false">IF(OR(J503="",I503=""),"",IF(MIN(D503:G503)&gt;=I503,"Add load (smallest step)",IF(MAX(D503:G503)&lt;H503,"Below range: if again, drop 5–10%","Same load, add reps")))</f>
        <v/>
      </c>
      <c r="L503" s="20"/>
      <c r="M503" s="11" t="str">
        <f aca="false">IF(OR(L503="",C503="",H503="",C503=0),"",MAX(H503,ROUNDUP(30*((L503/C503)*(1+H503/30)-1),0)))</f>
        <v/>
      </c>
    </row>
    <row r="504" customFormat="false" ht="15" hidden="false" customHeight="false" outlineLevel="0" collapsed="false">
      <c r="A504" s="51"/>
      <c r="B504" s="54"/>
      <c r="C504" s="20"/>
      <c r="D504" s="20"/>
      <c r="E504" s="20"/>
      <c r="F504" s="20"/>
      <c r="G504" s="20"/>
      <c r="H504" s="11" t="str">
        <f aca="false">IF(B504="","",IFERROR(INDEX(Program!$H$2:$H$75,MATCH(B504,Program!$D$2:$D$75,0)),""))</f>
        <v/>
      </c>
      <c r="I504" s="11" t="str">
        <f aca="false">IF(B504="","",IFERROR(INDEX(Program!$I$2:$I$75,MATCH(B504,Program!$D$2:$D$75,0)),""))</f>
        <v/>
      </c>
      <c r="J504" s="11" t="str">
        <f aca="false">IF(COUNT(D504:G504)=0,"",COUNT(D504:G504))</f>
        <v/>
      </c>
      <c r="K504" s="12" t="str">
        <f aca="false">IF(OR(J504="",I504=""),"",IF(MIN(D504:G504)&gt;=I504,"Add load (smallest step)",IF(MAX(D504:G504)&lt;H504,"Below range: if again, drop 5–10%","Same load, add reps")))</f>
        <v/>
      </c>
      <c r="L504" s="20"/>
      <c r="M504" s="11" t="str">
        <f aca="false">IF(OR(L504="",C504="",H504="",C504=0),"",MAX(H504,ROUNDUP(30*((L504/C504)*(1+H504/30)-1),0)))</f>
        <v/>
      </c>
    </row>
    <row r="505" customFormat="false" ht="15" hidden="false" customHeight="false" outlineLevel="0" collapsed="false">
      <c r="A505" s="51"/>
      <c r="B505" s="54"/>
      <c r="C505" s="20"/>
      <c r="D505" s="20"/>
      <c r="E505" s="20"/>
      <c r="F505" s="20"/>
      <c r="G505" s="20"/>
      <c r="H505" s="11" t="str">
        <f aca="false">IF(B505="","",IFERROR(INDEX(Program!$H$2:$H$75,MATCH(B505,Program!$D$2:$D$75,0)),""))</f>
        <v/>
      </c>
      <c r="I505" s="11" t="str">
        <f aca="false">IF(B505="","",IFERROR(INDEX(Program!$I$2:$I$75,MATCH(B505,Program!$D$2:$D$75,0)),""))</f>
        <v/>
      </c>
      <c r="J505" s="11" t="str">
        <f aca="false">IF(COUNT(D505:G505)=0,"",COUNT(D505:G505))</f>
        <v/>
      </c>
      <c r="K505" s="12" t="str">
        <f aca="false">IF(OR(J505="",I505=""),"",IF(MIN(D505:G505)&gt;=I505,"Add load (smallest step)",IF(MAX(D505:G505)&lt;H505,"Below range: if again, drop 5–10%","Same load, add reps")))</f>
        <v/>
      </c>
      <c r="L505" s="20"/>
      <c r="M505" s="11" t="str">
        <f aca="false">IF(OR(L505="",C505="",H505="",C505=0),"",MAX(H505,ROUNDUP(30*((L505/C505)*(1+H505/30)-1),0)))</f>
        <v/>
      </c>
    </row>
    <row r="506" customFormat="false" ht="15" hidden="false" customHeight="false" outlineLevel="0" collapsed="false">
      <c r="A506" s="51"/>
      <c r="B506" s="54"/>
      <c r="C506" s="20"/>
      <c r="D506" s="20"/>
      <c r="E506" s="20"/>
      <c r="F506" s="20"/>
      <c r="G506" s="20"/>
      <c r="H506" s="11" t="str">
        <f aca="false">IF(B506="","",IFERROR(INDEX(Program!$H$2:$H$75,MATCH(B506,Program!$D$2:$D$75,0)),""))</f>
        <v/>
      </c>
      <c r="I506" s="11" t="str">
        <f aca="false">IF(B506="","",IFERROR(INDEX(Program!$I$2:$I$75,MATCH(B506,Program!$D$2:$D$75,0)),""))</f>
        <v/>
      </c>
      <c r="J506" s="11" t="str">
        <f aca="false">IF(COUNT(D506:G506)=0,"",COUNT(D506:G506))</f>
        <v/>
      </c>
      <c r="K506" s="12" t="str">
        <f aca="false">IF(OR(J506="",I506=""),"",IF(MIN(D506:G506)&gt;=I506,"Add load (smallest step)",IF(MAX(D506:G506)&lt;H506,"Below range: if again, drop 5–10%","Same load, add reps")))</f>
        <v/>
      </c>
      <c r="L506" s="20"/>
      <c r="M506" s="11" t="str">
        <f aca="false">IF(OR(L506="",C506="",H506="",C506=0),"",MAX(H506,ROUNDUP(30*((L506/C506)*(1+H506/30)-1),0)))</f>
        <v/>
      </c>
    </row>
    <row r="507" customFormat="false" ht="15" hidden="false" customHeight="false" outlineLevel="0" collapsed="false">
      <c r="A507" s="51"/>
      <c r="B507" s="54"/>
      <c r="C507" s="20"/>
      <c r="D507" s="20"/>
      <c r="E507" s="20"/>
      <c r="F507" s="20"/>
      <c r="G507" s="20"/>
      <c r="H507" s="11" t="str">
        <f aca="false">IF(B507="","",IFERROR(INDEX(Program!$H$2:$H$75,MATCH(B507,Program!$D$2:$D$75,0)),""))</f>
        <v/>
      </c>
      <c r="I507" s="11" t="str">
        <f aca="false">IF(B507="","",IFERROR(INDEX(Program!$I$2:$I$75,MATCH(B507,Program!$D$2:$D$75,0)),""))</f>
        <v/>
      </c>
      <c r="J507" s="11" t="str">
        <f aca="false">IF(COUNT(D507:G507)=0,"",COUNT(D507:G507))</f>
        <v/>
      </c>
      <c r="K507" s="12" t="str">
        <f aca="false">IF(OR(J507="",I507=""),"",IF(MIN(D507:G507)&gt;=I507,"Add load (smallest step)",IF(MAX(D507:G507)&lt;H507,"Below range: if again, drop 5–10%","Same load, add reps")))</f>
        <v/>
      </c>
      <c r="L507" s="20"/>
      <c r="M507" s="11" t="str">
        <f aca="false">IF(OR(L507="",C507="",H507="",C507=0),"",MAX(H507,ROUNDUP(30*((L507/C507)*(1+H507/30)-1),0)))</f>
        <v/>
      </c>
    </row>
    <row r="508" customFormat="false" ht="15" hidden="false" customHeight="false" outlineLevel="0" collapsed="false">
      <c r="A508" s="51"/>
      <c r="B508" s="54"/>
      <c r="C508" s="20"/>
      <c r="D508" s="20"/>
      <c r="E508" s="20"/>
      <c r="F508" s="20"/>
      <c r="G508" s="20"/>
      <c r="H508" s="11" t="str">
        <f aca="false">IF(B508="","",IFERROR(INDEX(Program!$H$2:$H$75,MATCH(B508,Program!$D$2:$D$75,0)),""))</f>
        <v/>
      </c>
      <c r="I508" s="11" t="str">
        <f aca="false">IF(B508="","",IFERROR(INDEX(Program!$I$2:$I$75,MATCH(B508,Program!$D$2:$D$75,0)),""))</f>
        <v/>
      </c>
      <c r="J508" s="11" t="str">
        <f aca="false">IF(COUNT(D508:G508)=0,"",COUNT(D508:G508))</f>
        <v/>
      </c>
      <c r="K508" s="12" t="str">
        <f aca="false">IF(OR(J508="",I508=""),"",IF(MIN(D508:G508)&gt;=I508,"Add load (smallest step)",IF(MAX(D508:G508)&lt;H508,"Below range: if again, drop 5–10%","Same load, add reps")))</f>
        <v/>
      </c>
      <c r="L508" s="20"/>
      <c r="M508" s="11" t="str">
        <f aca="false">IF(OR(L508="",C508="",H508="",C508=0),"",MAX(H508,ROUNDUP(30*((L508/C508)*(1+H508/30)-1),0)))</f>
        <v/>
      </c>
    </row>
    <row r="509" customFormat="false" ht="15" hidden="false" customHeight="false" outlineLevel="0" collapsed="false">
      <c r="A509" s="51"/>
      <c r="B509" s="54"/>
      <c r="C509" s="20"/>
      <c r="D509" s="20"/>
      <c r="E509" s="20"/>
      <c r="F509" s="20"/>
      <c r="G509" s="20"/>
      <c r="H509" s="11" t="str">
        <f aca="false">IF(B509="","",IFERROR(INDEX(Program!$H$2:$H$75,MATCH(B509,Program!$D$2:$D$75,0)),""))</f>
        <v/>
      </c>
      <c r="I509" s="11" t="str">
        <f aca="false">IF(B509="","",IFERROR(INDEX(Program!$I$2:$I$75,MATCH(B509,Program!$D$2:$D$75,0)),""))</f>
        <v/>
      </c>
      <c r="J509" s="11" t="str">
        <f aca="false">IF(COUNT(D509:G509)=0,"",COUNT(D509:G509))</f>
        <v/>
      </c>
      <c r="K509" s="12" t="str">
        <f aca="false">IF(OR(J509="",I509=""),"",IF(MIN(D509:G509)&gt;=I509,"Add load (smallest step)",IF(MAX(D509:G509)&lt;H509,"Below range: if again, drop 5–10%","Same load, add reps")))</f>
        <v/>
      </c>
      <c r="L509" s="20"/>
      <c r="M509" s="11" t="str">
        <f aca="false">IF(OR(L509="",C509="",H509="",C509=0),"",MAX(H509,ROUNDUP(30*((L509/C509)*(1+H509/30)-1),0)))</f>
        <v/>
      </c>
    </row>
    <row r="510" customFormat="false" ht="15" hidden="false" customHeight="false" outlineLevel="0" collapsed="false">
      <c r="A510" s="51"/>
      <c r="B510" s="54"/>
      <c r="C510" s="20"/>
      <c r="D510" s="20"/>
      <c r="E510" s="20"/>
      <c r="F510" s="20"/>
      <c r="G510" s="20"/>
      <c r="H510" s="11" t="str">
        <f aca="false">IF(B510="","",IFERROR(INDEX(Program!$H$2:$H$75,MATCH(B510,Program!$D$2:$D$75,0)),""))</f>
        <v/>
      </c>
      <c r="I510" s="11" t="str">
        <f aca="false">IF(B510="","",IFERROR(INDEX(Program!$I$2:$I$75,MATCH(B510,Program!$D$2:$D$75,0)),""))</f>
        <v/>
      </c>
      <c r="J510" s="11" t="str">
        <f aca="false">IF(COUNT(D510:G510)=0,"",COUNT(D510:G510))</f>
        <v/>
      </c>
      <c r="K510" s="12" t="str">
        <f aca="false">IF(OR(J510="",I510=""),"",IF(MIN(D510:G510)&gt;=I510,"Add load (smallest step)",IF(MAX(D510:G510)&lt;H510,"Below range: if again, drop 5–10%","Same load, add reps")))</f>
        <v/>
      </c>
      <c r="L510" s="20"/>
      <c r="M510" s="11" t="str">
        <f aca="false">IF(OR(L510="",C510="",H510="",C510=0),"",MAX(H510,ROUNDUP(30*((L510/C510)*(1+H510/30)-1),0)))</f>
        <v/>
      </c>
    </row>
    <row r="511" customFormat="false" ht="15" hidden="false" customHeight="false" outlineLevel="0" collapsed="false">
      <c r="A511" s="51"/>
      <c r="B511" s="54"/>
      <c r="C511" s="20"/>
      <c r="D511" s="20"/>
      <c r="E511" s="20"/>
      <c r="F511" s="20"/>
      <c r="G511" s="20"/>
      <c r="H511" s="11" t="str">
        <f aca="false">IF(B511="","",IFERROR(INDEX(Program!$H$2:$H$75,MATCH(B511,Program!$D$2:$D$75,0)),""))</f>
        <v/>
      </c>
      <c r="I511" s="11" t="str">
        <f aca="false">IF(B511="","",IFERROR(INDEX(Program!$I$2:$I$75,MATCH(B511,Program!$D$2:$D$75,0)),""))</f>
        <v/>
      </c>
      <c r="J511" s="11" t="str">
        <f aca="false">IF(COUNT(D511:G511)=0,"",COUNT(D511:G511))</f>
        <v/>
      </c>
      <c r="K511" s="12" t="str">
        <f aca="false">IF(OR(J511="",I511=""),"",IF(MIN(D511:G511)&gt;=I511,"Add load (smallest step)",IF(MAX(D511:G511)&lt;H511,"Below range: if again, drop 5–10%","Same load, add reps")))</f>
        <v/>
      </c>
      <c r="L511" s="20"/>
      <c r="M511" s="11" t="str">
        <f aca="false">IF(OR(L511="",C511="",H511="",C511=0),"",MAX(H511,ROUNDUP(30*((L511/C511)*(1+H511/30)-1),0)))</f>
        <v/>
      </c>
    </row>
    <row r="512" customFormat="false" ht="15" hidden="false" customHeight="false" outlineLevel="0" collapsed="false">
      <c r="A512" s="51"/>
      <c r="B512" s="54"/>
      <c r="C512" s="20"/>
      <c r="D512" s="20"/>
      <c r="E512" s="20"/>
      <c r="F512" s="20"/>
      <c r="G512" s="20"/>
      <c r="H512" s="11" t="str">
        <f aca="false">IF(B512="","",IFERROR(INDEX(Program!$H$2:$H$75,MATCH(B512,Program!$D$2:$D$75,0)),""))</f>
        <v/>
      </c>
      <c r="I512" s="11" t="str">
        <f aca="false">IF(B512="","",IFERROR(INDEX(Program!$I$2:$I$75,MATCH(B512,Program!$D$2:$D$75,0)),""))</f>
        <v/>
      </c>
      <c r="J512" s="11" t="str">
        <f aca="false">IF(COUNT(D512:G512)=0,"",COUNT(D512:G512))</f>
        <v/>
      </c>
      <c r="K512" s="12" t="str">
        <f aca="false">IF(OR(J512="",I512=""),"",IF(MIN(D512:G512)&gt;=I512,"Add load (smallest step)",IF(MAX(D512:G512)&lt;H512,"Below range: if again, drop 5–10%","Same load, add reps")))</f>
        <v/>
      </c>
      <c r="L512" s="20"/>
      <c r="M512" s="11" t="str">
        <f aca="false">IF(OR(L512="",C512="",H512="",C512=0),"",MAX(H512,ROUNDUP(30*((L512/C512)*(1+H512/30)-1),0)))</f>
        <v/>
      </c>
    </row>
    <row r="513" customFormat="false" ht="15" hidden="false" customHeight="false" outlineLevel="0" collapsed="false">
      <c r="A513" s="51"/>
      <c r="B513" s="54"/>
      <c r="C513" s="20"/>
      <c r="D513" s="20"/>
      <c r="E513" s="20"/>
      <c r="F513" s="20"/>
      <c r="G513" s="20"/>
      <c r="H513" s="11" t="str">
        <f aca="false">IF(B513="","",IFERROR(INDEX(Program!$H$2:$H$75,MATCH(B513,Program!$D$2:$D$75,0)),""))</f>
        <v/>
      </c>
      <c r="I513" s="11" t="str">
        <f aca="false">IF(B513="","",IFERROR(INDEX(Program!$I$2:$I$75,MATCH(B513,Program!$D$2:$D$75,0)),""))</f>
        <v/>
      </c>
      <c r="J513" s="11" t="str">
        <f aca="false">IF(COUNT(D513:G513)=0,"",COUNT(D513:G513))</f>
        <v/>
      </c>
      <c r="K513" s="12" t="str">
        <f aca="false">IF(OR(J513="",I513=""),"",IF(MIN(D513:G513)&gt;=I513,"Add load (smallest step)",IF(MAX(D513:G513)&lt;H513,"Below range: if again, drop 5–10%","Same load, add reps")))</f>
        <v/>
      </c>
      <c r="L513" s="20"/>
      <c r="M513" s="11" t="str">
        <f aca="false">IF(OR(L513="",C513="",H513="",C513=0),"",MAX(H513,ROUNDUP(30*((L513/C513)*(1+H513/30)-1),0)))</f>
        <v/>
      </c>
    </row>
    <row r="514" customFormat="false" ht="15" hidden="false" customHeight="false" outlineLevel="0" collapsed="false">
      <c r="A514" s="51"/>
      <c r="B514" s="54"/>
      <c r="C514" s="20"/>
      <c r="D514" s="20"/>
      <c r="E514" s="20"/>
      <c r="F514" s="20"/>
      <c r="G514" s="20"/>
      <c r="H514" s="11" t="str">
        <f aca="false">IF(B514="","",IFERROR(INDEX(Program!$H$2:$H$75,MATCH(B514,Program!$D$2:$D$75,0)),""))</f>
        <v/>
      </c>
      <c r="I514" s="11" t="str">
        <f aca="false">IF(B514="","",IFERROR(INDEX(Program!$I$2:$I$75,MATCH(B514,Program!$D$2:$D$75,0)),""))</f>
        <v/>
      </c>
      <c r="J514" s="11" t="str">
        <f aca="false">IF(COUNT(D514:G514)=0,"",COUNT(D514:G514))</f>
        <v/>
      </c>
      <c r="K514" s="12" t="str">
        <f aca="false">IF(OR(J514="",I514=""),"",IF(MIN(D514:G514)&gt;=I514,"Add load (smallest step)",IF(MAX(D514:G514)&lt;H514,"Below range: if again, drop 5–10%","Same load, add reps")))</f>
        <v/>
      </c>
      <c r="L514" s="20"/>
      <c r="M514" s="11" t="str">
        <f aca="false">IF(OR(L514="",C514="",H514="",C514=0),"",MAX(H514,ROUNDUP(30*((L514/C514)*(1+H514/30)-1),0)))</f>
        <v/>
      </c>
    </row>
    <row r="515" customFormat="false" ht="15" hidden="false" customHeight="false" outlineLevel="0" collapsed="false">
      <c r="A515" s="51"/>
      <c r="B515" s="54"/>
      <c r="C515" s="20"/>
      <c r="D515" s="20"/>
      <c r="E515" s="20"/>
      <c r="F515" s="20"/>
      <c r="G515" s="20"/>
      <c r="H515" s="11" t="str">
        <f aca="false">IF(B515="","",IFERROR(INDEX(Program!$H$2:$H$75,MATCH(B515,Program!$D$2:$D$75,0)),""))</f>
        <v/>
      </c>
      <c r="I515" s="11" t="str">
        <f aca="false">IF(B515="","",IFERROR(INDEX(Program!$I$2:$I$75,MATCH(B515,Program!$D$2:$D$75,0)),""))</f>
        <v/>
      </c>
      <c r="J515" s="11" t="str">
        <f aca="false">IF(COUNT(D515:G515)=0,"",COUNT(D515:G515))</f>
        <v/>
      </c>
      <c r="K515" s="12" t="str">
        <f aca="false">IF(OR(J515="",I515=""),"",IF(MIN(D515:G515)&gt;=I515,"Add load (smallest step)",IF(MAX(D515:G515)&lt;H515,"Below range: if again, drop 5–10%","Same load, add reps")))</f>
        <v/>
      </c>
      <c r="L515" s="20"/>
      <c r="M515" s="11" t="str">
        <f aca="false">IF(OR(L515="",C515="",H515="",C515=0),"",MAX(H515,ROUNDUP(30*((L515/C515)*(1+H515/30)-1),0)))</f>
        <v/>
      </c>
    </row>
    <row r="516" customFormat="false" ht="15" hidden="false" customHeight="false" outlineLevel="0" collapsed="false">
      <c r="A516" s="51"/>
      <c r="B516" s="54"/>
      <c r="C516" s="20"/>
      <c r="D516" s="20"/>
      <c r="E516" s="20"/>
      <c r="F516" s="20"/>
      <c r="G516" s="20"/>
      <c r="H516" s="11" t="str">
        <f aca="false">IF(B516="","",IFERROR(INDEX(Program!$H$2:$H$75,MATCH(B516,Program!$D$2:$D$75,0)),""))</f>
        <v/>
      </c>
      <c r="I516" s="11" t="str">
        <f aca="false">IF(B516="","",IFERROR(INDEX(Program!$I$2:$I$75,MATCH(B516,Program!$D$2:$D$75,0)),""))</f>
        <v/>
      </c>
      <c r="J516" s="11" t="str">
        <f aca="false">IF(COUNT(D516:G516)=0,"",COUNT(D516:G516))</f>
        <v/>
      </c>
      <c r="K516" s="12" t="str">
        <f aca="false">IF(OR(J516="",I516=""),"",IF(MIN(D516:G516)&gt;=I516,"Add load (smallest step)",IF(MAX(D516:G516)&lt;H516,"Below range: if again, drop 5–10%","Same load, add reps")))</f>
        <v/>
      </c>
      <c r="L516" s="20"/>
      <c r="M516" s="11" t="str">
        <f aca="false">IF(OR(L516="",C516="",H516="",C516=0),"",MAX(H516,ROUNDUP(30*((L516/C516)*(1+H516/30)-1),0)))</f>
        <v/>
      </c>
    </row>
    <row r="517" customFormat="false" ht="15" hidden="false" customHeight="false" outlineLevel="0" collapsed="false">
      <c r="A517" s="51"/>
      <c r="B517" s="54"/>
      <c r="C517" s="20"/>
      <c r="D517" s="20"/>
      <c r="E517" s="20"/>
      <c r="F517" s="20"/>
      <c r="G517" s="20"/>
      <c r="H517" s="11" t="str">
        <f aca="false">IF(B517="","",IFERROR(INDEX(Program!$H$2:$H$75,MATCH(B517,Program!$D$2:$D$75,0)),""))</f>
        <v/>
      </c>
      <c r="I517" s="11" t="str">
        <f aca="false">IF(B517="","",IFERROR(INDEX(Program!$I$2:$I$75,MATCH(B517,Program!$D$2:$D$75,0)),""))</f>
        <v/>
      </c>
      <c r="J517" s="11" t="str">
        <f aca="false">IF(COUNT(D517:G517)=0,"",COUNT(D517:G517))</f>
        <v/>
      </c>
      <c r="K517" s="12" t="str">
        <f aca="false">IF(OR(J517="",I517=""),"",IF(MIN(D517:G517)&gt;=I517,"Add load (smallest step)",IF(MAX(D517:G517)&lt;H517,"Below range: if again, drop 5–10%","Same load, add reps")))</f>
        <v/>
      </c>
      <c r="L517" s="20"/>
      <c r="M517" s="11" t="str">
        <f aca="false">IF(OR(L517="",C517="",H517="",C517=0),"",MAX(H517,ROUNDUP(30*((L517/C517)*(1+H517/30)-1),0)))</f>
        <v/>
      </c>
    </row>
    <row r="518" customFormat="false" ht="15" hidden="false" customHeight="false" outlineLevel="0" collapsed="false">
      <c r="A518" s="51"/>
      <c r="B518" s="54"/>
      <c r="C518" s="20"/>
      <c r="D518" s="20"/>
      <c r="E518" s="20"/>
      <c r="F518" s="20"/>
      <c r="G518" s="20"/>
      <c r="H518" s="11" t="str">
        <f aca="false">IF(B518="","",IFERROR(INDEX(Program!$H$2:$H$75,MATCH(B518,Program!$D$2:$D$75,0)),""))</f>
        <v/>
      </c>
      <c r="I518" s="11" t="str">
        <f aca="false">IF(B518="","",IFERROR(INDEX(Program!$I$2:$I$75,MATCH(B518,Program!$D$2:$D$75,0)),""))</f>
        <v/>
      </c>
      <c r="J518" s="11" t="str">
        <f aca="false">IF(COUNT(D518:G518)=0,"",COUNT(D518:G518))</f>
        <v/>
      </c>
      <c r="K518" s="12" t="str">
        <f aca="false">IF(OR(J518="",I518=""),"",IF(MIN(D518:G518)&gt;=I518,"Add load (smallest step)",IF(MAX(D518:G518)&lt;H518,"Below range: if again, drop 5–10%","Same load, add reps")))</f>
        <v/>
      </c>
      <c r="L518" s="20"/>
      <c r="M518" s="11" t="str">
        <f aca="false">IF(OR(L518="",C518="",H518="",C518=0),"",MAX(H518,ROUNDUP(30*((L518/C518)*(1+H518/30)-1),0)))</f>
        <v/>
      </c>
    </row>
    <row r="519" customFormat="false" ht="15" hidden="false" customHeight="false" outlineLevel="0" collapsed="false">
      <c r="A519" s="51"/>
      <c r="B519" s="54"/>
      <c r="C519" s="20"/>
      <c r="D519" s="20"/>
      <c r="E519" s="20"/>
      <c r="F519" s="20"/>
      <c r="G519" s="20"/>
      <c r="H519" s="11" t="str">
        <f aca="false">IF(B519="","",IFERROR(INDEX(Program!$H$2:$H$75,MATCH(B519,Program!$D$2:$D$75,0)),""))</f>
        <v/>
      </c>
      <c r="I519" s="11" t="str">
        <f aca="false">IF(B519="","",IFERROR(INDEX(Program!$I$2:$I$75,MATCH(B519,Program!$D$2:$D$75,0)),""))</f>
        <v/>
      </c>
      <c r="J519" s="11" t="str">
        <f aca="false">IF(COUNT(D519:G519)=0,"",COUNT(D519:G519))</f>
        <v/>
      </c>
      <c r="K519" s="12" t="str">
        <f aca="false">IF(OR(J519="",I519=""),"",IF(MIN(D519:G519)&gt;=I519,"Add load (smallest step)",IF(MAX(D519:G519)&lt;H519,"Below range: if again, drop 5–10%","Same load, add reps")))</f>
        <v/>
      </c>
      <c r="L519" s="20"/>
      <c r="M519" s="11" t="str">
        <f aca="false">IF(OR(L519="",C519="",H519="",C519=0),"",MAX(H519,ROUNDUP(30*((L519/C519)*(1+H519/30)-1),0)))</f>
        <v/>
      </c>
    </row>
    <row r="520" customFormat="false" ht="15" hidden="false" customHeight="false" outlineLevel="0" collapsed="false">
      <c r="A520" s="51"/>
      <c r="B520" s="54"/>
      <c r="C520" s="20"/>
      <c r="D520" s="20"/>
      <c r="E520" s="20"/>
      <c r="F520" s="20"/>
      <c r="G520" s="20"/>
      <c r="H520" s="11" t="str">
        <f aca="false">IF(B520="","",IFERROR(INDEX(Program!$H$2:$H$75,MATCH(B520,Program!$D$2:$D$75,0)),""))</f>
        <v/>
      </c>
      <c r="I520" s="11" t="str">
        <f aca="false">IF(B520="","",IFERROR(INDEX(Program!$I$2:$I$75,MATCH(B520,Program!$D$2:$D$75,0)),""))</f>
        <v/>
      </c>
      <c r="J520" s="11" t="str">
        <f aca="false">IF(COUNT(D520:G520)=0,"",COUNT(D520:G520))</f>
        <v/>
      </c>
      <c r="K520" s="12" t="str">
        <f aca="false">IF(OR(J520="",I520=""),"",IF(MIN(D520:G520)&gt;=I520,"Add load (smallest step)",IF(MAX(D520:G520)&lt;H520,"Below range: if again, drop 5–10%","Same load, add reps")))</f>
        <v/>
      </c>
      <c r="L520" s="20"/>
      <c r="M520" s="11" t="str">
        <f aca="false">IF(OR(L520="",C520="",H520="",C520=0),"",MAX(H520,ROUNDUP(30*((L520/C520)*(1+H520/30)-1),0)))</f>
        <v/>
      </c>
    </row>
    <row r="521" customFormat="false" ht="15" hidden="false" customHeight="false" outlineLevel="0" collapsed="false">
      <c r="A521" s="51"/>
      <c r="B521" s="54"/>
      <c r="C521" s="20"/>
      <c r="D521" s="20"/>
      <c r="E521" s="20"/>
      <c r="F521" s="20"/>
      <c r="G521" s="20"/>
      <c r="H521" s="11" t="str">
        <f aca="false">IF(B521="","",IFERROR(INDEX(Program!$H$2:$H$75,MATCH(B521,Program!$D$2:$D$75,0)),""))</f>
        <v/>
      </c>
      <c r="I521" s="11" t="str">
        <f aca="false">IF(B521="","",IFERROR(INDEX(Program!$I$2:$I$75,MATCH(B521,Program!$D$2:$D$75,0)),""))</f>
        <v/>
      </c>
      <c r="J521" s="11" t="str">
        <f aca="false">IF(COUNT(D521:G521)=0,"",COUNT(D521:G521))</f>
        <v/>
      </c>
      <c r="K521" s="12" t="str">
        <f aca="false">IF(OR(J521="",I521=""),"",IF(MIN(D521:G521)&gt;=I521,"Add load (smallest step)",IF(MAX(D521:G521)&lt;H521,"Below range: if again, drop 5–10%","Same load, add reps")))</f>
        <v/>
      </c>
      <c r="L521" s="20"/>
      <c r="M521" s="11" t="str">
        <f aca="false">IF(OR(L521="",C521="",H521="",C521=0),"",MAX(H521,ROUNDUP(30*((L521/C521)*(1+H521/30)-1),0)))</f>
        <v/>
      </c>
    </row>
    <row r="522" customFormat="false" ht="15" hidden="false" customHeight="false" outlineLevel="0" collapsed="false">
      <c r="A522" s="51"/>
      <c r="B522" s="54"/>
      <c r="C522" s="20"/>
      <c r="D522" s="20"/>
      <c r="E522" s="20"/>
      <c r="F522" s="20"/>
      <c r="G522" s="20"/>
      <c r="H522" s="11" t="str">
        <f aca="false">IF(B522="","",IFERROR(INDEX(Program!$H$2:$H$75,MATCH(B522,Program!$D$2:$D$75,0)),""))</f>
        <v/>
      </c>
      <c r="I522" s="11" t="str">
        <f aca="false">IF(B522="","",IFERROR(INDEX(Program!$I$2:$I$75,MATCH(B522,Program!$D$2:$D$75,0)),""))</f>
        <v/>
      </c>
      <c r="J522" s="11" t="str">
        <f aca="false">IF(COUNT(D522:G522)=0,"",COUNT(D522:G522))</f>
        <v/>
      </c>
      <c r="K522" s="12" t="str">
        <f aca="false">IF(OR(J522="",I522=""),"",IF(MIN(D522:G522)&gt;=I522,"Add load (smallest step)",IF(MAX(D522:G522)&lt;H522,"Below range: if again, drop 5–10%","Same load, add reps")))</f>
        <v/>
      </c>
      <c r="L522" s="20"/>
      <c r="M522" s="11" t="str">
        <f aca="false">IF(OR(L522="",C522="",H522="",C522=0),"",MAX(H522,ROUNDUP(30*((L522/C522)*(1+H522/30)-1),0)))</f>
        <v/>
      </c>
    </row>
    <row r="523" customFormat="false" ht="15" hidden="false" customHeight="false" outlineLevel="0" collapsed="false">
      <c r="A523" s="51"/>
      <c r="B523" s="54"/>
      <c r="C523" s="20"/>
      <c r="D523" s="20"/>
      <c r="E523" s="20"/>
      <c r="F523" s="20"/>
      <c r="G523" s="20"/>
      <c r="H523" s="11" t="str">
        <f aca="false">IF(B523="","",IFERROR(INDEX(Program!$H$2:$H$75,MATCH(B523,Program!$D$2:$D$75,0)),""))</f>
        <v/>
      </c>
      <c r="I523" s="11" t="str">
        <f aca="false">IF(B523="","",IFERROR(INDEX(Program!$I$2:$I$75,MATCH(B523,Program!$D$2:$D$75,0)),""))</f>
        <v/>
      </c>
      <c r="J523" s="11" t="str">
        <f aca="false">IF(COUNT(D523:G523)=0,"",COUNT(D523:G523))</f>
        <v/>
      </c>
      <c r="K523" s="12" t="str">
        <f aca="false">IF(OR(J523="",I523=""),"",IF(MIN(D523:G523)&gt;=I523,"Add load (smallest step)",IF(MAX(D523:G523)&lt;H523,"Below range: if again, drop 5–10%","Same load, add reps")))</f>
        <v/>
      </c>
      <c r="L523" s="20"/>
      <c r="M523" s="11" t="str">
        <f aca="false">IF(OR(L523="",C523="",H523="",C523=0),"",MAX(H523,ROUNDUP(30*((L523/C523)*(1+H523/30)-1),0)))</f>
        <v/>
      </c>
    </row>
    <row r="524" customFormat="false" ht="15" hidden="false" customHeight="false" outlineLevel="0" collapsed="false">
      <c r="A524" s="51"/>
      <c r="B524" s="54"/>
      <c r="C524" s="20"/>
      <c r="D524" s="20"/>
      <c r="E524" s="20"/>
      <c r="F524" s="20"/>
      <c r="G524" s="20"/>
      <c r="H524" s="11" t="str">
        <f aca="false">IF(B524="","",IFERROR(INDEX(Program!$H$2:$H$75,MATCH(B524,Program!$D$2:$D$75,0)),""))</f>
        <v/>
      </c>
      <c r="I524" s="11" t="str">
        <f aca="false">IF(B524="","",IFERROR(INDEX(Program!$I$2:$I$75,MATCH(B524,Program!$D$2:$D$75,0)),""))</f>
        <v/>
      </c>
      <c r="J524" s="11" t="str">
        <f aca="false">IF(COUNT(D524:G524)=0,"",COUNT(D524:G524))</f>
        <v/>
      </c>
      <c r="K524" s="12" t="str">
        <f aca="false">IF(OR(J524="",I524=""),"",IF(MIN(D524:G524)&gt;=I524,"Add load (smallest step)",IF(MAX(D524:G524)&lt;H524,"Below range: if again, drop 5–10%","Same load, add reps")))</f>
        <v/>
      </c>
      <c r="L524" s="20"/>
      <c r="M524" s="11" t="str">
        <f aca="false">IF(OR(L524="",C524="",H524="",C524=0),"",MAX(H524,ROUNDUP(30*((L524/C524)*(1+H524/30)-1),0)))</f>
        <v/>
      </c>
    </row>
    <row r="525" customFormat="false" ht="15" hidden="false" customHeight="false" outlineLevel="0" collapsed="false">
      <c r="A525" s="51"/>
      <c r="B525" s="54"/>
      <c r="C525" s="20"/>
      <c r="D525" s="20"/>
      <c r="E525" s="20"/>
      <c r="F525" s="20"/>
      <c r="G525" s="20"/>
      <c r="H525" s="11" t="str">
        <f aca="false">IF(B525="","",IFERROR(INDEX(Program!$H$2:$H$75,MATCH(B525,Program!$D$2:$D$75,0)),""))</f>
        <v/>
      </c>
      <c r="I525" s="11" t="str">
        <f aca="false">IF(B525="","",IFERROR(INDEX(Program!$I$2:$I$75,MATCH(B525,Program!$D$2:$D$75,0)),""))</f>
        <v/>
      </c>
      <c r="J525" s="11" t="str">
        <f aca="false">IF(COUNT(D525:G525)=0,"",COUNT(D525:G525))</f>
        <v/>
      </c>
      <c r="K525" s="12" t="str">
        <f aca="false">IF(OR(J525="",I525=""),"",IF(MIN(D525:G525)&gt;=I525,"Add load (smallest step)",IF(MAX(D525:G525)&lt;H525,"Below range: if again, drop 5–10%","Same load, add reps")))</f>
        <v/>
      </c>
      <c r="L525" s="20"/>
      <c r="M525" s="11" t="str">
        <f aca="false">IF(OR(L525="",C525="",H525="",C525=0),"",MAX(H525,ROUNDUP(30*((L525/C525)*(1+H525/30)-1),0)))</f>
        <v/>
      </c>
    </row>
    <row r="526" customFormat="false" ht="15" hidden="false" customHeight="false" outlineLevel="0" collapsed="false">
      <c r="A526" s="51"/>
      <c r="B526" s="54"/>
      <c r="C526" s="20"/>
      <c r="D526" s="20"/>
      <c r="E526" s="20"/>
      <c r="F526" s="20"/>
      <c r="G526" s="20"/>
      <c r="H526" s="11" t="str">
        <f aca="false">IF(B526="","",IFERROR(INDEX(Program!$H$2:$H$75,MATCH(B526,Program!$D$2:$D$75,0)),""))</f>
        <v/>
      </c>
      <c r="I526" s="11" t="str">
        <f aca="false">IF(B526="","",IFERROR(INDEX(Program!$I$2:$I$75,MATCH(B526,Program!$D$2:$D$75,0)),""))</f>
        <v/>
      </c>
      <c r="J526" s="11" t="str">
        <f aca="false">IF(COUNT(D526:G526)=0,"",COUNT(D526:G526))</f>
        <v/>
      </c>
      <c r="K526" s="12" t="str">
        <f aca="false">IF(OR(J526="",I526=""),"",IF(MIN(D526:G526)&gt;=I526,"Add load (smallest step)",IF(MAX(D526:G526)&lt;H526,"Below range: if again, drop 5–10%","Same load, add reps")))</f>
        <v/>
      </c>
      <c r="L526" s="20"/>
      <c r="M526" s="11" t="str">
        <f aca="false">IF(OR(L526="",C526="",H526="",C526=0),"",MAX(H526,ROUNDUP(30*((L526/C526)*(1+H526/30)-1),0)))</f>
        <v/>
      </c>
    </row>
    <row r="527" customFormat="false" ht="15" hidden="false" customHeight="false" outlineLevel="0" collapsed="false">
      <c r="A527" s="51"/>
      <c r="B527" s="54"/>
      <c r="C527" s="20"/>
      <c r="D527" s="20"/>
      <c r="E527" s="20"/>
      <c r="F527" s="20"/>
      <c r="G527" s="20"/>
      <c r="H527" s="11" t="str">
        <f aca="false">IF(B527="","",IFERROR(INDEX(Program!$H$2:$H$75,MATCH(B527,Program!$D$2:$D$75,0)),""))</f>
        <v/>
      </c>
      <c r="I527" s="11" t="str">
        <f aca="false">IF(B527="","",IFERROR(INDEX(Program!$I$2:$I$75,MATCH(B527,Program!$D$2:$D$75,0)),""))</f>
        <v/>
      </c>
      <c r="J527" s="11" t="str">
        <f aca="false">IF(COUNT(D527:G527)=0,"",COUNT(D527:G527))</f>
        <v/>
      </c>
      <c r="K527" s="12" t="str">
        <f aca="false">IF(OR(J527="",I527=""),"",IF(MIN(D527:G527)&gt;=I527,"Add load (smallest step)",IF(MAX(D527:G527)&lt;H527,"Below range: if again, drop 5–10%","Same load, add reps")))</f>
        <v/>
      </c>
      <c r="L527" s="20"/>
      <c r="M527" s="11" t="str">
        <f aca="false">IF(OR(L527="",C527="",H527="",C527=0),"",MAX(H527,ROUNDUP(30*((L527/C527)*(1+H527/30)-1),0)))</f>
        <v/>
      </c>
    </row>
    <row r="528" customFormat="false" ht="15" hidden="false" customHeight="false" outlineLevel="0" collapsed="false">
      <c r="A528" s="51"/>
      <c r="B528" s="54"/>
      <c r="C528" s="20"/>
      <c r="D528" s="20"/>
      <c r="E528" s="20"/>
      <c r="F528" s="20"/>
      <c r="G528" s="20"/>
      <c r="H528" s="11" t="str">
        <f aca="false">IF(B528="","",IFERROR(INDEX(Program!$H$2:$H$75,MATCH(B528,Program!$D$2:$D$75,0)),""))</f>
        <v/>
      </c>
      <c r="I528" s="11" t="str">
        <f aca="false">IF(B528="","",IFERROR(INDEX(Program!$I$2:$I$75,MATCH(B528,Program!$D$2:$D$75,0)),""))</f>
        <v/>
      </c>
      <c r="J528" s="11" t="str">
        <f aca="false">IF(COUNT(D528:G528)=0,"",COUNT(D528:G528))</f>
        <v/>
      </c>
      <c r="K528" s="12" t="str">
        <f aca="false">IF(OR(J528="",I528=""),"",IF(MIN(D528:G528)&gt;=I528,"Add load (smallest step)",IF(MAX(D528:G528)&lt;H528,"Below range: if again, drop 5–10%","Same load, add reps")))</f>
        <v/>
      </c>
      <c r="L528" s="20"/>
      <c r="M528" s="11" t="str">
        <f aca="false">IF(OR(L528="",C528="",H528="",C528=0),"",MAX(H528,ROUNDUP(30*((L528/C528)*(1+H528/30)-1),0)))</f>
        <v/>
      </c>
    </row>
    <row r="529" customFormat="false" ht="15" hidden="false" customHeight="false" outlineLevel="0" collapsed="false">
      <c r="A529" s="51"/>
      <c r="B529" s="54"/>
      <c r="C529" s="20"/>
      <c r="D529" s="20"/>
      <c r="E529" s="20"/>
      <c r="F529" s="20"/>
      <c r="G529" s="20"/>
      <c r="H529" s="11" t="str">
        <f aca="false">IF(B529="","",IFERROR(INDEX(Program!$H$2:$H$75,MATCH(B529,Program!$D$2:$D$75,0)),""))</f>
        <v/>
      </c>
      <c r="I529" s="11" t="str">
        <f aca="false">IF(B529="","",IFERROR(INDEX(Program!$I$2:$I$75,MATCH(B529,Program!$D$2:$D$75,0)),""))</f>
        <v/>
      </c>
      <c r="J529" s="11" t="str">
        <f aca="false">IF(COUNT(D529:G529)=0,"",COUNT(D529:G529))</f>
        <v/>
      </c>
      <c r="K529" s="12" t="str">
        <f aca="false">IF(OR(J529="",I529=""),"",IF(MIN(D529:G529)&gt;=I529,"Add load (smallest step)",IF(MAX(D529:G529)&lt;H529,"Below range: if again, drop 5–10%","Same load, add reps")))</f>
        <v/>
      </c>
      <c r="L529" s="20"/>
      <c r="M529" s="11" t="str">
        <f aca="false">IF(OR(L529="",C529="",H529="",C529=0),"",MAX(H529,ROUNDUP(30*((L529/C529)*(1+H529/30)-1),0)))</f>
        <v/>
      </c>
    </row>
    <row r="530" customFormat="false" ht="15" hidden="false" customHeight="false" outlineLevel="0" collapsed="false">
      <c r="A530" s="51"/>
      <c r="B530" s="54"/>
      <c r="C530" s="20"/>
      <c r="D530" s="20"/>
      <c r="E530" s="20"/>
      <c r="F530" s="20"/>
      <c r="G530" s="20"/>
      <c r="H530" s="11" t="str">
        <f aca="false">IF(B530="","",IFERROR(INDEX(Program!$H$2:$H$75,MATCH(B530,Program!$D$2:$D$75,0)),""))</f>
        <v/>
      </c>
      <c r="I530" s="11" t="str">
        <f aca="false">IF(B530="","",IFERROR(INDEX(Program!$I$2:$I$75,MATCH(B530,Program!$D$2:$D$75,0)),""))</f>
        <v/>
      </c>
      <c r="J530" s="11" t="str">
        <f aca="false">IF(COUNT(D530:G530)=0,"",COUNT(D530:G530))</f>
        <v/>
      </c>
      <c r="K530" s="12" t="str">
        <f aca="false">IF(OR(J530="",I530=""),"",IF(MIN(D530:G530)&gt;=I530,"Add load (smallest step)",IF(MAX(D530:G530)&lt;H530,"Below range: if again, drop 5–10%","Same load, add reps")))</f>
        <v/>
      </c>
      <c r="L530" s="20"/>
      <c r="M530" s="11" t="str">
        <f aca="false">IF(OR(L530="",C530="",H530="",C530=0),"",MAX(H530,ROUNDUP(30*((L530/C530)*(1+H530/30)-1),0)))</f>
        <v/>
      </c>
    </row>
    <row r="531" customFormat="false" ht="15" hidden="false" customHeight="false" outlineLevel="0" collapsed="false">
      <c r="A531" s="51"/>
      <c r="B531" s="54"/>
      <c r="C531" s="20"/>
      <c r="D531" s="20"/>
      <c r="E531" s="20"/>
      <c r="F531" s="20"/>
      <c r="G531" s="20"/>
      <c r="H531" s="11" t="str">
        <f aca="false">IF(B531="","",IFERROR(INDEX(Program!$H$2:$H$75,MATCH(B531,Program!$D$2:$D$75,0)),""))</f>
        <v/>
      </c>
      <c r="I531" s="11" t="str">
        <f aca="false">IF(B531="","",IFERROR(INDEX(Program!$I$2:$I$75,MATCH(B531,Program!$D$2:$D$75,0)),""))</f>
        <v/>
      </c>
      <c r="J531" s="11" t="str">
        <f aca="false">IF(COUNT(D531:G531)=0,"",COUNT(D531:G531))</f>
        <v/>
      </c>
      <c r="K531" s="12" t="str">
        <f aca="false">IF(OR(J531="",I531=""),"",IF(MIN(D531:G531)&gt;=I531,"Add load (smallest step)",IF(MAX(D531:G531)&lt;H531,"Below range: if again, drop 5–10%","Same load, add reps")))</f>
        <v/>
      </c>
      <c r="L531" s="20"/>
      <c r="M531" s="11" t="str">
        <f aca="false">IF(OR(L531="",C531="",H531="",C531=0),"",MAX(H531,ROUNDUP(30*((L531/C531)*(1+H531/30)-1),0)))</f>
        <v/>
      </c>
    </row>
    <row r="532" customFormat="false" ht="15" hidden="false" customHeight="false" outlineLevel="0" collapsed="false">
      <c r="A532" s="51"/>
      <c r="B532" s="54"/>
      <c r="C532" s="20"/>
      <c r="D532" s="20"/>
      <c r="E532" s="20"/>
      <c r="F532" s="20"/>
      <c r="G532" s="20"/>
      <c r="H532" s="11" t="str">
        <f aca="false">IF(B532="","",IFERROR(INDEX(Program!$H$2:$H$75,MATCH(B532,Program!$D$2:$D$75,0)),""))</f>
        <v/>
      </c>
      <c r="I532" s="11" t="str">
        <f aca="false">IF(B532="","",IFERROR(INDEX(Program!$I$2:$I$75,MATCH(B532,Program!$D$2:$D$75,0)),""))</f>
        <v/>
      </c>
      <c r="J532" s="11" t="str">
        <f aca="false">IF(COUNT(D532:G532)=0,"",COUNT(D532:G532))</f>
        <v/>
      </c>
      <c r="K532" s="12" t="str">
        <f aca="false">IF(OR(J532="",I532=""),"",IF(MIN(D532:G532)&gt;=I532,"Add load (smallest step)",IF(MAX(D532:G532)&lt;H532,"Below range: if again, drop 5–10%","Same load, add reps")))</f>
        <v/>
      </c>
      <c r="L532" s="20"/>
      <c r="M532" s="11" t="str">
        <f aca="false">IF(OR(L532="",C532="",H532="",C532=0),"",MAX(H532,ROUNDUP(30*((L532/C532)*(1+H532/30)-1),0)))</f>
        <v/>
      </c>
    </row>
    <row r="533" customFormat="false" ht="15" hidden="false" customHeight="false" outlineLevel="0" collapsed="false">
      <c r="A533" s="51"/>
      <c r="B533" s="54"/>
      <c r="C533" s="20"/>
      <c r="D533" s="20"/>
      <c r="E533" s="20"/>
      <c r="F533" s="20"/>
      <c r="G533" s="20"/>
      <c r="H533" s="11" t="str">
        <f aca="false">IF(B533="","",IFERROR(INDEX(Program!$H$2:$H$75,MATCH(B533,Program!$D$2:$D$75,0)),""))</f>
        <v/>
      </c>
      <c r="I533" s="11" t="str">
        <f aca="false">IF(B533="","",IFERROR(INDEX(Program!$I$2:$I$75,MATCH(B533,Program!$D$2:$D$75,0)),""))</f>
        <v/>
      </c>
      <c r="J533" s="11" t="str">
        <f aca="false">IF(COUNT(D533:G533)=0,"",COUNT(D533:G533))</f>
        <v/>
      </c>
      <c r="K533" s="12" t="str">
        <f aca="false">IF(OR(J533="",I533=""),"",IF(MIN(D533:G533)&gt;=I533,"Add load (smallest step)",IF(MAX(D533:G533)&lt;H533,"Below range: if again, drop 5–10%","Same load, add reps")))</f>
        <v/>
      </c>
      <c r="L533" s="20"/>
      <c r="M533" s="11" t="str">
        <f aca="false">IF(OR(L533="",C533="",H533="",C533=0),"",MAX(H533,ROUNDUP(30*((L533/C533)*(1+H533/30)-1),0)))</f>
        <v/>
      </c>
    </row>
    <row r="534" customFormat="false" ht="15" hidden="false" customHeight="false" outlineLevel="0" collapsed="false">
      <c r="A534" s="51"/>
      <c r="B534" s="54"/>
      <c r="C534" s="20"/>
      <c r="D534" s="20"/>
      <c r="E534" s="20"/>
      <c r="F534" s="20"/>
      <c r="G534" s="20"/>
      <c r="H534" s="11" t="str">
        <f aca="false">IF(B534="","",IFERROR(INDEX(Program!$H$2:$H$75,MATCH(B534,Program!$D$2:$D$75,0)),""))</f>
        <v/>
      </c>
      <c r="I534" s="11" t="str">
        <f aca="false">IF(B534="","",IFERROR(INDEX(Program!$I$2:$I$75,MATCH(B534,Program!$D$2:$D$75,0)),""))</f>
        <v/>
      </c>
      <c r="J534" s="11" t="str">
        <f aca="false">IF(COUNT(D534:G534)=0,"",COUNT(D534:G534))</f>
        <v/>
      </c>
      <c r="K534" s="12" t="str">
        <f aca="false">IF(OR(J534="",I534=""),"",IF(MIN(D534:G534)&gt;=I534,"Add load (smallest step)",IF(MAX(D534:G534)&lt;H534,"Below range: if again, drop 5–10%","Same load, add reps")))</f>
        <v/>
      </c>
      <c r="L534" s="20"/>
      <c r="M534" s="11" t="str">
        <f aca="false">IF(OR(L534="",C534="",H534="",C534=0),"",MAX(H534,ROUNDUP(30*((L534/C534)*(1+H534/30)-1),0)))</f>
        <v/>
      </c>
    </row>
    <row r="535" customFormat="false" ht="15" hidden="false" customHeight="false" outlineLevel="0" collapsed="false">
      <c r="A535" s="51"/>
      <c r="B535" s="54"/>
      <c r="C535" s="20"/>
      <c r="D535" s="20"/>
      <c r="E535" s="20"/>
      <c r="F535" s="20"/>
      <c r="G535" s="20"/>
      <c r="H535" s="11" t="str">
        <f aca="false">IF(B535="","",IFERROR(INDEX(Program!$H$2:$H$75,MATCH(B535,Program!$D$2:$D$75,0)),""))</f>
        <v/>
      </c>
      <c r="I535" s="11" t="str">
        <f aca="false">IF(B535="","",IFERROR(INDEX(Program!$I$2:$I$75,MATCH(B535,Program!$D$2:$D$75,0)),""))</f>
        <v/>
      </c>
      <c r="J535" s="11" t="str">
        <f aca="false">IF(COUNT(D535:G535)=0,"",COUNT(D535:G535))</f>
        <v/>
      </c>
      <c r="K535" s="12" t="str">
        <f aca="false">IF(OR(J535="",I535=""),"",IF(MIN(D535:G535)&gt;=I535,"Add load (smallest step)",IF(MAX(D535:G535)&lt;H535,"Below range: if again, drop 5–10%","Same load, add reps")))</f>
        <v/>
      </c>
      <c r="L535" s="20"/>
      <c r="M535" s="11" t="str">
        <f aca="false">IF(OR(L535="",C535="",H535="",C535=0),"",MAX(H535,ROUNDUP(30*((L535/C535)*(1+H535/30)-1),0)))</f>
        <v/>
      </c>
    </row>
    <row r="536" customFormat="false" ht="15" hidden="false" customHeight="false" outlineLevel="0" collapsed="false">
      <c r="A536" s="51"/>
      <c r="B536" s="54"/>
      <c r="C536" s="20"/>
      <c r="D536" s="20"/>
      <c r="E536" s="20"/>
      <c r="F536" s="20"/>
      <c r="G536" s="20"/>
      <c r="H536" s="11" t="str">
        <f aca="false">IF(B536="","",IFERROR(INDEX(Program!$H$2:$H$75,MATCH(B536,Program!$D$2:$D$75,0)),""))</f>
        <v/>
      </c>
      <c r="I536" s="11" t="str">
        <f aca="false">IF(B536="","",IFERROR(INDEX(Program!$I$2:$I$75,MATCH(B536,Program!$D$2:$D$75,0)),""))</f>
        <v/>
      </c>
      <c r="J536" s="11" t="str">
        <f aca="false">IF(COUNT(D536:G536)=0,"",COUNT(D536:G536))</f>
        <v/>
      </c>
      <c r="K536" s="12" t="str">
        <f aca="false">IF(OR(J536="",I536=""),"",IF(MIN(D536:G536)&gt;=I536,"Add load (smallest step)",IF(MAX(D536:G536)&lt;H536,"Below range: if again, drop 5–10%","Same load, add reps")))</f>
        <v/>
      </c>
      <c r="L536" s="20"/>
      <c r="M536" s="11" t="str">
        <f aca="false">IF(OR(L536="",C536="",H536="",C536=0),"",MAX(H536,ROUNDUP(30*((L536/C536)*(1+H536/30)-1),0)))</f>
        <v/>
      </c>
    </row>
    <row r="537" customFormat="false" ht="15" hidden="false" customHeight="false" outlineLevel="0" collapsed="false">
      <c r="A537" s="51"/>
      <c r="B537" s="54"/>
      <c r="C537" s="20"/>
      <c r="D537" s="20"/>
      <c r="E537" s="20"/>
      <c r="F537" s="20"/>
      <c r="G537" s="20"/>
      <c r="H537" s="11" t="str">
        <f aca="false">IF(B537="","",IFERROR(INDEX(Program!$H$2:$H$75,MATCH(B537,Program!$D$2:$D$75,0)),""))</f>
        <v/>
      </c>
      <c r="I537" s="11" t="str">
        <f aca="false">IF(B537="","",IFERROR(INDEX(Program!$I$2:$I$75,MATCH(B537,Program!$D$2:$D$75,0)),""))</f>
        <v/>
      </c>
      <c r="J537" s="11" t="str">
        <f aca="false">IF(COUNT(D537:G537)=0,"",COUNT(D537:G537))</f>
        <v/>
      </c>
      <c r="K537" s="12" t="str">
        <f aca="false">IF(OR(J537="",I537=""),"",IF(MIN(D537:G537)&gt;=I537,"Add load (smallest step)",IF(MAX(D537:G537)&lt;H537,"Below range: if again, drop 5–10%","Same load, add reps")))</f>
        <v/>
      </c>
      <c r="L537" s="20"/>
      <c r="M537" s="11" t="str">
        <f aca="false">IF(OR(L537="",C537="",H537="",C537=0),"",MAX(H537,ROUNDUP(30*((L537/C537)*(1+H537/30)-1),0)))</f>
        <v/>
      </c>
    </row>
    <row r="538" customFormat="false" ht="15" hidden="false" customHeight="false" outlineLevel="0" collapsed="false">
      <c r="A538" s="51"/>
      <c r="B538" s="54"/>
      <c r="C538" s="20"/>
      <c r="D538" s="20"/>
      <c r="E538" s="20"/>
      <c r="F538" s="20"/>
      <c r="G538" s="20"/>
      <c r="H538" s="11" t="str">
        <f aca="false">IF(B538="","",IFERROR(INDEX(Program!$H$2:$H$75,MATCH(B538,Program!$D$2:$D$75,0)),""))</f>
        <v/>
      </c>
      <c r="I538" s="11" t="str">
        <f aca="false">IF(B538="","",IFERROR(INDEX(Program!$I$2:$I$75,MATCH(B538,Program!$D$2:$D$75,0)),""))</f>
        <v/>
      </c>
      <c r="J538" s="11" t="str">
        <f aca="false">IF(COUNT(D538:G538)=0,"",COUNT(D538:G538))</f>
        <v/>
      </c>
      <c r="K538" s="12" t="str">
        <f aca="false">IF(OR(J538="",I538=""),"",IF(MIN(D538:G538)&gt;=I538,"Add load (smallest step)",IF(MAX(D538:G538)&lt;H538,"Below range: if again, drop 5–10%","Same load, add reps")))</f>
        <v/>
      </c>
      <c r="L538" s="20"/>
      <c r="M538" s="11" t="str">
        <f aca="false">IF(OR(L538="",C538="",H538="",C538=0),"",MAX(H538,ROUNDUP(30*((L538/C538)*(1+H538/30)-1),0)))</f>
        <v/>
      </c>
    </row>
    <row r="539" customFormat="false" ht="15" hidden="false" customHeight="false" outlineLevel="0" collapsed="false">
      <c r="A539" s="51"/>
      <c r="B539" s="54"/>
      <c r="C539" s="20"/>
      <c r="D539" s="20"/>
      <c r="E539" s="20"/>
      <c r="F539" s="20"/>
      <c r="G539" s="20"/>
      <c r="H539" s="11" t="str">
        <f aca="false">IF(B539="","",IFERROR(INDEX(Program!$H$2:$H$75,MATCH(B539,Program!$D$2:$D$75,0)),""))</f>
        <v/>
      </c>
      <c r="I539" s="11" t="str">
        <f aca="false">IF(B539="","",IFERROR(INDEX(Program!$I$2:$I$75,MATCH(B539,Program!$D$2:$D$75,0)),""))</f>
        <v/>
      </c>
      <c r="J539" s="11" t="str">
        <f aca="false">IF(COUNT(D539:G539)=0,"",COUNT(D539:G539))</f>
        <v/>
      </c>
      <c r="K539" s="12" t="str">
        <f aca="false">IF(OR(J539="",I539=""),"",IF(MIN(D539:G539)&gt;=I539,"Add load (smallest step)",IF(MAX(D539:G539)&lt;H539,"Below range: if again, drop 5–10%","Same load, add reps")))</f>
        <v/>
      </c>
      <c r="L539" s="20"/>
      <c r="M539" s="11" t="str">
        <f aca="false">IF(OR(L539="",C539="",H539="",C539=0),"",MAX(H539,ROUNDUP(30*((L539/C539)*(1+H539/30)-1),0)))</f>
        <v/>
      </c>
    </row>
    <row r="540" customFormat="false" ht="15" hidden="false" customHeight="false" outlineLevel="0" collapsed="false">
      <c r="A540" s="51"/>
      <c r="B540" s="54"/>
      <c r="C540" s="20"/>
      <c r="D540" s="20"/>
      <c r="E540" s="20"/>
      <c r="F540" s="20"/>
      <c r="G540" s="20"/>
      <c r="H540" s="11" t="str">
        <f aca="false">IF(B540="","",IFERROR(INDEX(Program!$H$2:$H$75,MATCH(B540,Program!$D$2:$D$75,0)),""))</f>
        <v/>
      </c>
      <c r="I540" s="11" t="str">
        <f aca="false">IF(B540="","",IFERROR(INDEX(Program!$I$2:$I$75,MATCH(B540,Program!$D$2:$D$75,0)),""))</f>
        <v/>
      </c>
      <c r="J540" s="11" t="str">
        <f aca="false">IF(COUNT(D540:G540)=0,"",COUNT(D540:G540))</f>
        <v/>
      </c>
      <c r="K540" s="12" t="str">
        <f aca="false">IF(OR(J540="",I540=""),"",IF(MIN(D540:G540)&gt;=I540,"Add load (smallest step)",IF(MAX(D540:G540)&lt;H540,"Below range: if again, drop 5–10%","Same load, add reps")))</f>
        <v/>
      </c>
      <c r="L540" s="20"/>
      <c r="M540" s="11" t="str">
        <f aca="false">IF(OR(L540="",C540="",H540="",C540=0),"",MAX(H540,ROUNDUP(30*((L540/C540)*(1+H540/30)-1),0)))</f>
        <v/>
      </c>
    </row>
    <row r="541" customFormat="false" ht="15" hidden="false" customHeight="false" outlineLevel="0" collapsed="false">
      <c r="A541" s="51"/>
      <c r="B541" s="54"/>
      <c r="C541" s="20"/>
      <c r="D541" s="20"/>
      <c r="E541" s="20"/>
      <c r="F541" s="20"/>
      <c r="G541" s="20"/>
      <c r="H541" s="11" t="str">
        <f aca="false">IF(B541="","",IFERROR(INDEX(Program!$H$2:$H$75,MATCH(B541,Program!$D$2:$D$75,0)),""))</f>
        <v/>
      </c>
      <c r="I541" s="11" t="str">
        <f aca="false">IF(B541="","",IFERROR(INDEX(Program!$I$2:$I$75,MATCH(B541,Program!$D$2:$D$75,0)),""))</f>
        <v/>
      </c>
      <c r="J541" s="11" t="str">
        <f aca="false">IF(COUNT(D541:G541)=0,"",COUNT(D541:G541))</f>
        <v/>
      </c>
      <c r="K541" s="12" t="str">
        <f aca="false">IF(OR(J541="",I541=""),"",IF(MIN(D541:G541)&gt;=I541,"Add load (smallest step)",IF(MAX(D541:G541)&lt;H541,"Below range: if again, drop 5–10%","Same load, add reps")))</f>
        <v/>
      </c>
      <c r="L541" s="20"/>
      <c r="M541" s="11" t="str">
        <f aca="false">IF(OR(L541="",C541="",H541="",C541=0),"",MAX(H541,ROUNDUP(30*((L541/C541)*(1+H541/30)-1),0)))</f>
        <v/>
      </c>
    </row>
    <row r="542" customFormat="false" ht="15" hidden="false" customHeight="false" outlineLevel="0" collapsed="false">
      <c r="A542" s="51"/>
      <c r="B542" s="54"/>
      <c r="C542" s="20"/>
      <c r="D542" s="20"/>
      <c r="E542" s="20"/>
      <c r="F542" s="20"/>
      <c r="G542" s="20"/>
      <c r="H542" s="11" t="str">
        <f aca="false">IF(B542="","",IFERROR(INDEX(Program!$H$2:$H$75,MATCH(B542,Program!$D$2:$D$75,0)),""))</f>
        <v/>
      </c>
      <c r="I542" s="11" t="str">
        <f aca="false">IF(B542="","",IFERROR(INDEX(Program!$I$2:$I$75,MATCH(B542,Program!$D$2:$D$75,0)),""))</f>
        <v/>
      </c>
      <c r="J542" s="11" t="str">
        <f aca="false">IF(COUNT(D542:G542)=0,"",COUNT(D542:G542))</f>
        <v/>
      </c>
      <c r="K542" s="12" t="str">
        <f aca="false">IF(OR(J542="",I542=""),"",IF(MIN(D542:G542)&gt;=I542,"Add load (smallest step)",IF(MAX(D542:G542)&lt;H542,"Below range: if again, drop 5–10%","Same load, add reps")))</f>
        <v/>
      </c>
      <c r="L542" s="20"/>
      <c r="M542" s="11" t="str">
        <f aca="false">IF(OR(L542="",C542="",H542="",C542=0),"",MAX(H542,ROUNDUP(30*((L542/C542)*(1+H542/30)-1),0)))</f>
        <v/>
      </c>
    </row>
    <row r="543" customFormat="false" ht="15" hidden="false" customHeight="false" outlineLevel="0" collapsed="false">
      <c r="A543" s="51"/>
      <c r="B543" s="54"/>
      <c r="C543" s="20"/>
      <c r="D543" s="20"/>
      <c r="E543" s="20"/>
      <c r="F543" s="20"/>
      <c r="G543" s="20"/>
      <c r="H543" s="11" t="str">
        <f aca="false">IF(B543="","",IFERROR(INDEX(Program!$H$2:$H$75,MATCH(B543,Program!$D$2:$D$75,0)),""))</f>
        <v/>
      </c>
      <c r="I543" s="11" t="str">
        <f aca="false">IF(B543="","",IFERROR(INDEX(Program!$I$2:$I$75,MATCH(B543,Program!$D$2:$D$75,0)),""))</f>
        <v/>
      </c>
      <c r="J543" s="11" t="str">
        <f aca="false">IF(COUNT(D543:G543)=0,"",COUNT(D543:G543))</f>
        <v/>
      </c>
      <c r="K543" s="12" t="str">
        <f aca="false">IF(OR(J543="",I543=""),"",IF(MIN(D543:G543)&gt;=I543,"Add load (smallest step)",IF(MAX(D543:G543)&lt;H543,"Below range: if again, drop 5–10%","Same load, add reps")))</f>
        <v/>
      </c>
      <c r="L543" s="20"/>
      <c r="M543" s="11" t="str">
        <f aca="false">IF(OR(L543="",C543="",H543="",C543=0),"",MAX(H543,ROUNDUP(30*((L543/C543)*(1+H543/30)-1),0)))</f>
        <v/>
      </c>
    </row>
    <row r="544" customFormat="false" ht="15" hidden="false" customHeight="false" outlineLevel="0" collapsed="false">
      <c r="A544" s="51"/>
      <c r="B544" s="54"/>
      <c r="C544" s="20"/>
      <c r="D544" s="20"/>
      <c r="E544" s="20"/>
      <c r="F544" s="20"/>
      <c r="G544" s="20"/>
      <c r="H544" s="11" t="str">
        <f aca="false">IF(B544="","",IFERROR(INDEX(Program!$H$2:$H$75,MATCH(B544,Program!$D$2:$D$75,0)),""))</f>
        <v/>
      </c>
      <c r="I544" s="11" t="str">
        <f aca="false">IF(B544="","",IFERROR(INDEX(Program!$I$2:$I$75,MATCH(B544,Program!$D$2:$D$75,0)),""))</f>
        <v/>
      </c>
      <c r="J544" s="11" t="str">
        <f aca="false">IF(COUNT(D544:G544)=0,"",COUNT(D544:G544))</f>
        <v/>
      </c>
      <c r="K544" s="12" t="str">
        <f aca="false">IF(OR(J544="",I544=""),"",IF(MIN(D544:G544)&gt;=I544,"Add load (smallest step)",IF(MAX(D544:G544)&lt;H544,"Below range: if again, drop 5–10%","Same load, add reps")))</f>
        <v/>
      </c>
      <c r="L544" s="20"/>
      <c r="M544" s="11" t="str">
        <f aca="false">IF(OR(L544="",C544="",H544="",C544=0),"",MAX(H544,ROUNDUP(30*((L544/C544)*(1+H544/30)-1),0)))</f>
        <v/>
      </c>
    </row>
    <row r="545" customFormat="false" ht="15" hidden="false" customHeight="false" outlineLevel="0" collapsed="false">
      <c r="A545" s="51"/>
      <c r="B545" s="54"/>
      <c r="C545" s="20"/>
      <c r="D545" s="20"/>
      <c r="E545" s="20"/>
      <c r="F545" s="20"/>
      <c r="G545" s="20"/>
      <c r="H545" s="11" t="str">
        <f aca="false">IF(B545="","",IFERROR(INDEX(Program!$H$2:$H$75,MATCH(B545,Program!$D$2:$D$75,0)),""))</f>
        <v/>
      </c>
      <c r="I545" s="11" t="str">
        <f aca="false">IF(B545="","",IFERROR(INDEX(Program!$I$2:$I$75,MATCH(B545,Program!$D$2:$D$75,0)),""))</f>
        <v/>
      </c>
      <c r="J545" s="11" t="str">
        <f aca="false">IF(COUNT(D545:G545)=0,"",COUNT(D545:G545))</f>
        <v/>
      </c>
      <c r="K545" s="12" t="str">
        <f aca="false">IF(OR(J545="",I545=""),"",IF(MIN(D545:G545)&gt;=I545,"Add load (smallest step)",IF(MAX(D545:G545)&lt;H545,"Below range: if again, drop 5–10%","Same load, add reps")))</f>
        <v/>
      </c>
      <c r="L545" s="20"/>
      <c r="M545" s="11" t="str">
        <f aca="false">IF(OR(L545="",C545="",H545="",C545=0),"",MAX(H545,ROUNDUP(30*((L545/C545)*(1+H545/30)-1),0)))</f>
        <v/>
      </c>
    </row>
    <row r="546" customFormat="false" ht="15" hidden="false" customHeight="false" outlineLevel="0" collapsed="false">
      <c r="A546" s="51"/>
      <c r="B546" s="54"/>
      <c r="C546" s="20"/>
      <c r="D546" s="20"/>
      <c r="E546" s="20"/>
      <c r="F546" s="20"/>
      <c r="G546" s="20"/>
      <c r="H546" s="11" t="str">
        <f aca="false">IF(B546="","",IFERROR(INDEX(Program!$H$2:$H$75,MATCH(B546,Program!$D$2:$D$75,0)),""))</f>
        <v/>
      </c>
      <c r="I546" s="11" t="str">
        <f aca="false">IF(B546="","",IFERROR(INDEX(Program!$I$2:$I$75,MATCH(B546,Program!$D$2:$D$75,0)),""))</f>
        <v/>
      </c>
      <c r="J546" s="11" t="str">
        <f aca="false">IF(COUNT(D546:G546)=0,"",COUNT(D546:G546))</f>
        <v/>
      </c>
      <c r="K546" s="12" t="str">
        <f aca="false">IF(OR(J546="",I546=""),"",IF(MIN(D546:G546)&gt;=I546,"Add load (smallest step)",IF(MAX(D546:G546)&lt;H546,"Below range: if again, drop 5–10%","Same load, add reps")))</f>
        <v/>
      </c>
      <c r="L546" s="20"/>
      <c r="M546" s="11" t="str">
        <f aca="false">IF(OR(L546="",C546="",H546="",C546=0),"",MAX(H546,ROUNDUP(30*((L546/C546)*(1+H546/30)-1),0)))</f>
        <v/>
      </c>
    </row>
    <row r="547" customFormat="false" ht="15" hidden="false" customHeight="false" outlineLevel="0" collapsed="false">
      <c r="A547" s="51"/>
      <c r="B547" s="54"/>
      <c r="C547" s="20"/>
      <c r="D547" s="20"/>
      <c r="E547" s="20"/>
      <c r="F547" s="20"/>
      <c r="G547" s="20"/>
      <c r="H547" s="11" t="str">
        <f aca="false">IF(B547="","",IFERROR(INDEX(Program!$H$2:$H$75,MATCH(B547,Program!$D$2:$D$75,0)),""))</f>
        <v/>
      </c>
      <c r="I547" s="11" t="str">
        <f aca="false">IF(B547="","",IFERROR(INDEX(Program!$I$2:$I$75,MATCH(B547,Program!$D$2:$D$75,0)),""))</f>
        <v/>
      </c>
      <c r="J547" s="11" t="str">
        <f aca="false">IF(COUNT(D547:G547)=0,"",COUNT(D547:G547))</f>
        <v/>
      </c>
      <c r="K547" s="12" t="str">
        <f aca="false">IF(OR(J547="",I547=""),"",IF(MIN(D547:G547)&gt;=I547,"Add load (smallest step)",IF(MAX(D547:G547)&lt;H547,"Below range: if again, drop 5–10%","Same load, add reps")))</f>
        <v/>
      </c>
      <c r="L547" s="20"/>
      <c r="M547" s="11" t="str">
        <f aca="false">IF(OR(L547="",C547="",H547="",C547=0),"",MAX(H547,ROUNDUP(30*((L547/C547)*(1+H547/30)-1),0)))</f>
        <v/>
      </c>
    </row>
    <row r="548" customFormat="false" ht="15" hidden="false" customHeight="false" outlineLevel="0" collapsed="false">
      <c r="A548" s="51"/>
      <c r="B548" s="54"/>
      <c r="C548" s="20"/>
      <c r="D548" s="20"/>
      <c r="E548" s="20"/>
      <c r="F548" s="20"/>
      <c r="G548" s="20"/>
      <c r="H548" s="11" t="str">
        <f aca="false">IF(B548="","",IFERROR(INDEX(Program!$H$2:$H$75,MATCH(B548,Program!$D$2:$D$75,0)),""))</f>
        <v/>
      </c>
      <c r="I548" s="11" t="str">
        <f aca="false">IF(B548="","",IFERROR(INDEX(Program!$I$2:$I$75,MATCH(B548,Program!$D$2:$D$75,0)),""))</f>
        <v/>
      </c>
      <c r="J548" s="11" t="str">
        <f aca="false">IF(COUNT(D548:G548)=0,"",COUNT(D548:G548))</f>
        <v/>
      </c>
      <c r="K548" s="12" t="str">
        <f aca="false">IF(OR(J548="",I548=""),"",IF(MIN(D548:G548)&gt;=I548,"Add load (smallest step)",IF(MAX(D548:G548)&lt;H548,"Below range: if again, drop 5–10%","Same load, add reps")))</f>
        <v/>
      </c>
      <c r="L548" s="20"/>
      <c r="M548" s="11" t="str">
        <f aca="false">IF(OR(L548="",C548="",H548="",C548=0),"",MAX(H548,ROUNDUP(30*((L548/C548)*(1+H548/30)-1),0)))</f>
        <v/>
      </c>
    </row>
    <row r="549" customFormat="false" ht="15" hidden="false" customHeight="false" outlineLevel="0" collapsed="false">
      <c r="A549" s="51"/>
      <c r="B549" s="54"/>
      <c r="C549" s="20"/>
      <c r="D549" s="20"/>
      <c r="E549" s="20"/>
      <c r="F549" s="20"/>
      <c r="G549" s="20"/>
      <c r="H549" s="11" t="str">
        <f aca="false">IF(B549="","",IFERROR(INDEX(Program!$H$2:$H$75,MATCH(B549,Program!$D$2:$D$75,0)),""))</f>
        <v/>
      </c>
      <c r="I549" s="11" t="str">
        <f aca="false">IF(B549="","",IFERROR(INDEX(Program!$I$2:$I$75,MATCH(B549,Program!$D$2:$D$75,0)),""))</f>
        <v/>
      </c>
      <c r="J549" s="11" t="str">
        <f aca="false">IF(COUNT(D549:G549)=0,"",COUNT(D549:G549))</f>
        <v/>
      </c>
      <c r="K549" s="12" t="str">
        <f aca="false">IF(OR(J549="",I549=""),"",IF(MIN(D549:G549)&gt;=I549,"Add load (smallest step)",IF(MAX(D549:G549)&lt;H549,"Below range: if again, drop 5–10%","Same load, add reps")))</f>
        <v/>
      </c>
      <c r="L549" s="20"/>
      <c r="M549" s="11" t="str">
        <f aca="false">IF(OR(L549="",C549="",H549="",C549=0),"",MAX(H549,ROUNDUP(30*((L549/C549)*(1+H549/30)-1),0)))</f>
        <v/>
      </c>
    </row>
    <row r="550" customFormat="false" ht="15" hidden="false" customHeight="false" outlineLevel="0" collapsed="false">
      <c r="A550" s="51"/>
      <c r="B550" s="54"/>
      <c r="C550" s="20"/>
      <c r="D550" s="20"/>
      <c r="E550" s="20"/>
      <c r="F550" s="20"/>
      <c r="G550" s="20"/>
      <c r="H550" s="11" t="str">
        <f aca="false">IF(B550="","",IFERROR(INDEX(Program!$H$2:$H$75,MATCH(B550,Program!$D$2:$D$75,0)),""))</f>
        <v/>
      </c>
      <c r="I550" s="11" t="str">
        <f aca="false">IF(B550="","",IFERROR(INDEX(Program!$I$2:$I$75,MATCH(B550,Program!$D$2:$D$75,0)),""))</f>
        <v/>
      </c>
      <c r="J550" s="11" t="str">
        <f aca="false">IF(COUNT(D550:G550)=0,"",COUNT(D550:G550))</f>
        <v/>
      </c>
      <c r="K550" s="12" t="str">
        <f aca="false">IF(OR(J550="",I550=""),"",IF(MIN(D550:G550)&gt;=I550,"Add load (smallest step)",IF(MAX(D550:G550)&lt;H550,"Below range: if again, drop 5–10%","Same load, add reps")))</f>
        <v/>
      </c>
      <c r="L550" s="20"/>
      <c r="M550" s="11" t="str">
        <f aca="false">IF(OR(L550="",C550="",H550="",C550=0),"",MAX(H550,ROUNDUP(30*((L550/C550)*(1+H550/30)-1),0)))</f>
        <v/>
      </c>
    </row>
    <row r="551" customFormat="false" ht="15" hidden="false" customHeight="false" outlineLevel="0" collapsed="false">
      <c r="A551" s="51"/>
      <c r="B551" s="54"/>
      <c r="C551" s="20"/>
      <c r="D551" s="20"/>
      <c r="E551" s="20"/>
      <c r="F551" s="20"/>
      <c r="G551" s="20"/>
      <c r="H551" s="11" t="str">
        <f aca="false">IF(B551="","",IFERROR(INDEX(Program!$H$2:$H$75,MATCH(B551,Program!$D$2:$D$75,0)),""))</f>
        <v/>
      </c>
      <c r="I551" s="11" t="str">
        <f aca="false">IF(B551="","",IFERROR(INDEX(Program!$I$2:$I$75,MATCH(B551,Program!$D$2:$D$75,0)),""))</f>
        <v/>
      </c>
      <c r="J551" s="11" t="str">
        <f aca="false">IF(COUNT(D551:G551)=0,"",COUNT(D551:G551))</f>
        <v/>
      </c>
      <c r="K551" s="12" t="str">
        <f aca="false">IF(OR(J551="",I551=""),"",IF(MIN(D551:G551)&gt;=I551,"Add load (smallest step)",IF(MAX(D551:G551)&lt;H551,"Below range: if again, drop 5–10%","Same load, add reps")))</f>
        <v/>
      </c>
      <c r="L551" s="20"/>
      <c r="M551" s="11" t="str">
        <f aca="false">IF(OR(L551="",C551="",H551="",C551=0),"",MAX(H551,ROUNDUP(30*((L551/C551)*(1+H551/30)-1),0)))</f>
        <v/>
      </c>
    </row>
    <row r="552" customFormat="false" ht="15" hidden="false" customHeight="false" outlineLevel="0" collapsed="false">
      <c r="A552" s="51"/>
      <c r="B552" s="54"/>
      <c r="C552" s="20"/>
      <c r="D552" s="20"/>
      <c r="E552" s="20"/>
      <c r="F552" s="20"/>
      <c r="G552" s="20"/>
      <c r="H552" s="11" t="str">
        <f aca="false">IF(B552="","",IFERROR(INDEX(Program!$H$2:$H$75,MATCH(B552,Program!$D$2:$D$75,0)),""))</f>
        <v/>
      </c>
      <c r="I552" s="11" t="str">
        <f aca="false">IF(B552="","",IFERROR(INDEX(Program!$I$2:$I$75,MATCH(B552,Program!$D$2:$D$75,0)),""))</f>
        <v/>
      </c>
      <c r="J552" s="11" t="str">
        <f aca="false">IF(COUNT(D552:G552)=0,"",COUNT(D552:G552))</f>
        <v/>
      </c>
      <c r="K552" s="12" t="str">
        <f aca="false">IF(OR(J552="",I552=""),"",IF(MIN(D552:G552)&gt;=I552,"Add load (smallest step)",IF(MAX(D552:G552)&lt;H552,"Below range: if again, drop 5–10%","Same load, add reps")))</f>
        <v/>
      </c>
      <c r="L552" s="20"/>
      <c r="M552" s="11" t="str">
        <f aca="false">IF(OR(L552="",C552="",H552="",C552=0),"",MAX(H552,ROUNDUP(30*((L552/C552)*(1+H552/30)-1),0)))</f>
        <v/>
      </c>
    </row>
    <row r="553" customFormat="false" ht="15" hidden="false" customHeight="false" outlineLevel="0" collapsed="false">
      <c r="A553" s="51"/>
      <c r="B553" s="54"/>
      <c r="C553" s="20"/>
      <c r="D553" s="20"/>
      <c r="E553" s="20"/>
      <c r="F553" s="20"/>
      <c r="G553" s="20"/>
      <c r="H553" s="11" t="str">
        <f aca="false">IF(B553="","",IFERROR(INDEX(Program!$H$2:$H$75,MATCH(B553,Program!$D$2:$D$75,0)),""))</f>
        <v/>
      </c>
      <c r="I553" s="11" t="str">
        <f aca="false">IF(B553="","",IFERROR(INDEX(Program!$I$2:$I$75,MATCH(B553,Program!$D$2:$D$75,0)),""))</f>
        <v/>
      </c>
      <c r="J553" s="11" t="str">
        <f aca="false">IF(COUNT(D553:G553)=0,"",COUNT(D553:G553))</f>
        <v/>
      </c>
      <c r="K553" s="12" t="str">
        <f aca="false">IF(OR(J553="",I553=""),"",IF(MIN(D553:G553)&gt;=I553,"Add load (smallest step)",IF(MAX(D553:G553)&lt;H553,"Below range: if again, drop 5–10%","Same load, add reps")))</f>
        <v/>
      </c>
      <c r="L553" s="20"/>
      <c r="M553" s="11" t="str">
        <f aca="false">IF(OR(L553="",C553="",H553="",C553=0),"",MAX(H553,ROUNDUP(30*((L553/C553)*(1+H553/30)-1),0)))</f>
        <v/>
      </c>
    </row>
    <row r="554" customFormat="false" ht="15" hidden="false" customHeight="false" outlineLevel="0" collapsed="false">
      <c r="A554" s="51"/>
      <c r="B554" s="54"/>
      <c r="C554" s="20"/>
      <c r="D554" s="20"/>
      <c r="E554" s="20"/>
      <c r="F554" s="20"/>
      <c r="G554" s="20"/>
      <c r="H554" s="11" t="str">
        <f aca="false">IF(B554="","",IFERROR(INDEX(Program!$H$2:$H$75,MATCH(B554,Program!$D$2:$D$75,0)),""))</f>
        <v/>
      </c>
      <c r="I554" s="11" t="str">
        <f aca="false">IF(B554="","",IFERROR(INDEX(Program!$I$2:$I$75,MATCH(B554,Program!$D$2:$D$75,0)),""))</f>
        <v/>
      </c>
      <c r="J554" s="11" t="str">
        <f aca="false">IF(COUNT(D554:G554)=0,"",COUNT(D554:G554))</f>
        <v/>
      </c>
      <c r="K554" s="12" t="str">
        <f aca="false">IF(OR(J554="",I554=""),"",IF(MIN(D554:G554)&gt;=I554,"Add load (smallest step)",IF(MAX(D554:G554)&lt;H554,"Below range: if again, drop 5–10%","Same load, add reps")))</f>
        <v/>
      </c>
      <c r="L554" s="20"/>
      <c r="M554" s="11" t="str">
        <f aca="false">IF(OR(L554="",C554="",H554="",C554=0),"",MAX(H554,ROUNDUP(30*((L554/C554)*(1+H554/30)-1),0)))</f>
        <v/>
      </c>
    </row>
    <row r="555" customFormat="false" ht="15" hidden="false" customHeight="false" outlineLevel="0" collapsed="false">
      <c r="A555" s="51"/>
      <c r="B555" s="54"/>
      <c r="C555" s="20"/>
      <c r="D555" s="20"/>
      <c r="E555" s="20"/>
      <c r="F555" s="20"/>
      <c r="G555" s="20"/>
      <c r="H555" s="11" t="str">
        <f aca="false">IF(B555="","",IFERROR(INDEX(Program!$H$2:$H$75,MATCH(B555,Program!$D$2:$D$75,0)),""))</f>
        <v/>
      </c>
      <c r="I555" s="11" t="str">
        <f aca="false">IF(B555="","",IFERROR(INDEX(Program!$I$2:$I$75,MATCH(B555,Program!$D$2:$D$75,0)),""))</f>
        <v/>
      </c>
      <c r="J555" s="11" t="str">
        <f aca="false">IF(COUNT(D555:G555)=0,"",COUNT(D555:G555))</f>
        <v/>
      </c>
      <c r="K555" s="12" t="str">
        <f aca="false">IF(OR(J555="",I555=""),"",IF(MIN(D555:G555)&gt;=I555,"Add load (smallest step)",IF(MAX(D555:G555)&lt;H555,"Below range: if again, drop 5–10%","Same load, add reps")))</f>
        <v/>
      </c>
      <c r="L555" s="20"/>
      <c r="M555" s="11" t="str">
        <f aca="false">IF(OR(L555="",C555="",H555="",C555=0),"",MAX(H555,ROUNDUP(30*((L555/C555)*(1+H555/30)-1),0)))</f>
        <v/>
      </c>
    </row>
    <row r="556" customFormat="false" ht="15" hidden="false" customHeight="false" outlineLevel="0" collapsed="false">
      <c r="A556" s="51"/>
      <c r="B556" s="54"/>
      <c r="C556" s="20"/>
      <c r="D556" s="20"/>
      <c r="E556" s="20"/>
      <c r="F556" s="20"/>
      <c r="G556" s="20"/>
      <c r="H556" s="11" t="str">
        <f aca="false">IF(B556="","",IFERROR(INDEX(Program!$H$2:$H$75,MATCH(B556,Program!$D$2:$D$75,0)),""))</f>
        <v/>
      </c>
      <c r="I556" s="11" t="str">
        <f aca="false">IF(B556="","",IFERROR(INDEX(Program!$I$2:$I$75,MATCH(B556,Program!$D$2:$D$75,0)),""))</f>
        <v/>
      </c>
      <c r="J556" s="11" t="str">
        <f aca="false">IF(COUNT(D556:G556)=0,"",COUNT(D556:G556))</f>
        <v/>
      </c>
      <c r="K556" s="12" t="str">
        <f aca="false">IF(OR(J556="",I556=""),"",IF(MIN(D556:G556)&gt;=I556,"Add load (smallest step)",IF(MAX(D556:G556)&lt;H556,"Below range: if again, drop 5–10%","Same load, add reps")))</f>
        <v/>
      </c>
      <c r="L556" s="20"/>
      <c r="M556" s="11" t="str">
        <f aca="false">IF(OR(L556="",C556="",H556="",C556=0),"",MAX(H556,ROUNDUP(30*((L556/C556)*(1+H556/30)-1),0)))</f>
        <v/>
      </c>
    </row>
    <row r="557" customFormat="false" ht="15" hidden="false" customHeight="false" outlineLevel="0" collapsed="false">
      <c r="A557" s="51"/>
      <c r="B557" s="54"/>
      <c r="C557" s="20"/>
      <c r="D557" s="20"/>
      <c r="E557" s="20"/>
      <c r="F557" s="20"/>
      <c r="G557" s="20"/>
      <c r="H557" s="11" t="str">
        <f aca="false">IF(B557="","",IFERROR(INDEX(Program!$H$2:$H$75,MATCH(B557,Program!$D$2:$D$75,0)),""))</f>
        <v/>
      </c>
      <c r="I557" s="11" t="str">
        <f aca="false">IF(B557="","",IFERROR(INDEX(Program!$I$2:$I$75,MATCH(B557,Program!$D$2:$D$75,0)),""))</f>
        <v/>
      </c>
      <c r="J557" s="11" t="str">
        <f aca="false">IF(COUNT(D557:G557)=0,"",COUNT(D557:G557))</f>
        <v/>
      </c>
      <c r="K557" s="12" t="str">
        <f aca="false">IF(OR(J557="",I557=""),"",IF(MIN(D557:G557)&gt;=I557,"Add load (smallest step)",IF(MAX(D557:G557)&lt;H557,"Below range: if again, drop 5–10%","Same load, add reps")))</f>
        <v/>
      </c>
      <c r="L557" s="20"/>
      <c r="M557" s="11" t="str">
        <f aca="false">IF(OR(L557="",C557="",H557="",C557=0),"",MAX(H557,ROUNDUP(30*((L557/C557)*(1+H557/30)-1),0)))</f>
        <v/>
      </c>
    </row>
    <row r="558" customFormat="false" ht="15" hidden="false" customHeight="false" outlineLevel="0" collapsed="false">
      <c r="A558" s="51"/>
      <c r="B558" s="54"/>
      <c r="C558" s="20"/>
      <c r="D558" s="20"/>
      <c r="E558" s="20"/>
      <c r="F558" s="20"/>
      <c r="G558" s="20"/>
      <c r="H558" s="11" t="str">
        <f aca="false">IF(B558="","",IFERROR(INDEX(Program!$H$2:$H$75,MATCH(B558,Program!$D$2:$D$75,0)),""))</f>
        <v/>
      </c>
      <c r="I558" s="11" t="str">
        <f aca="false">IF(B558="","",IFERROR(INDEX(Program!$I$2:$I$75,MATCH(B558,Program!$D$2:$D$75,0)),""))</f>
        <v/>
      </c>
      <c r="J558" s="11" t="str">
        <f aca="false">IF(COUNT(D558:G558)=0,"",COUNT(D558:G558))</f>
        <v/>
      </c>
      <c r="K558" s="12" t="str">
        <f aca="false">IF(OR(J558="",I558=""),"",IF(MIN(D558:G558)&gt;=I558,"Add load (smallest step)",IF(MAX(D558:G558)&lt;H558,"Below range: if again, drop 5–10%","Same load, add reps")))</f>
        <v/>
      </c>
      <c r="L558" s="20"/>
      <c r="M558" s="11" t="str">
        <f aca="false">IF(OR(L558="",C558="",H558="",C558=0),"",MAX(H558,ROUNDUP(30*((L558/C558)*(1+H558/30)-1),0)))</f>
        <v/>
      </c>
    </row>
    <row r="559" customFormat="false" ht="15" hidden="false" customHeight="false" outlineLevel="0" collapsed="false">
      <c r="A559" s="51"/>
      <c r="B559" s="54"/>
      <c r="C559" s="20"/>
      <c r="D559" s="20"/>
      <c r="E559" s="20"/>
      <c r="F559" s="20"/>
      <c r="G559" s="20"/>
      <c r="H559" s="11" t="str">
        <f aca="false">IF(B559="","",IFERROR(INDEX(Program!$H$2:$H$75,MATCH(B559,Program!$D$2:$D$75,0)),""))</f>
        <v/>
      </c>
      <c r="I559" s="11" t="str">
        <f aca="false">IF(B559="","",IFERROR(INDEX(Program!$I$2:$I$75,MATCH(B559,Program!$D$2:$D$75,0)),""))</f>
        <v/>
      </c>
      <c r="J559" s="11" t="str">
        <f aca="false">IF(COUNT(D559:G559)=0,"",COUNT(D559:G559))</f>
        <v/>
      </c>
      <c r="K559" s="12" t="str">
        <f aca="false">IF(OR(J559="",I559=""),"",IF(MIN(D559:G559)&gt;=I559,"Add load (smallest step)",IF(MAX(D559:G559)&lt;H559,"Below range: if again, drop 5–10%","Same load, add reps")))</f>
        <v/>
      </c>
      <c r="L559" s="20"/>
      <c r="M559" s="11" t="str">
        <f aca="false">IF(OR(L559="",C559="",H559="",C559=0),"",MAX(H559,ROUNDUP(30*((L559/C559)*(1+H559/30)-1),0)))</f>
        <v/>
      </c>
    </row>
    <row r="560" customFormat="false" ht="15" hidden="false" customHeight="false" outlineLevel="0" collapsed="false">
      <c r="A560" s="51"/>
      <c r="B560" s="54"/>
      <c r="C560" s="20"/>
      <c r="D560" s="20"/>
      <c r="E560" s="20"/>
      <c r="F560" s="20"/>
      <c r="G560" s="20"/>
      <c r="H560" s="11" t="str">
        <f aca="false">IF(B560="","",IFERROR(INDEX(Program!$H$2:$H$75,MATCH(B560,Program!$D$2:$D$75,0)),""))</f>
        <v/>
      </c>
      <c r="I560" s="11" t="str">
        <f aca="false">IF(B560="","",IFERROR(INDEX(Program!$I$2:$I$75,MATCH(B560,Program!$D$2:$D$75,0)),""))</f>
        <v/>
      </c>
      <c r="J560" s="11" t="str">
        <f aca="false">IF(COUNT(D560:G560)=0,"",COUNT(D560:G560))</f>
        <v/>
      </c>
      <c r="K560" s="12" t="str">
        <f aca="false">IF(OR(J560="",I560=""),"",IF(MIN(D560:G560)&gt;=I560,"Add load (smallest step)",IF(MAX(D560:G560)&lt;H560,"Below range: if again, drop 5–10%","Same load, add reps")))</f>
        <v/>
      </c>
      <c r="L560" s="20"/>
      <c r="M560" s="11" t="str">
        <f aca="false">IF(OR(L560="",C560="",H560="",C560=0),"",MAX(H560,ROUNDUP(30*((L560/C560)*(1+H560/30)-1),0)))</f>
        <v/>
      </c>
    </row>
    <row r="561" customFormat="false" ht="15" hidden="false" customHeight="false" outlineLevel="0" collapsed="false">
      <c r="A561" s="51"/>
      <c r="B561" s="54"/>
      <c r="C561" s="20"/>
      <c r="D561" s="20"/>
      <c r="E561" s="20"/>
      <c r="F561" s="20"/>
      <c r="G561" s="20"/>
      <c r="H561" s="11" t="str">
        <f aca="false">IF(B561="","",IFERROR(INDEX(Program!$H$2:$H$75,MATCH(B561,Program!$D$2:$D$75,0)),""))</f>
        <v/>
      </c>
      <c r="I561" s="11" t="str">
        <f aca="false">IF(B561="","",IFERROR(INDEX(Program!$I$2:$I$75,MATCH(B561,Program!$D$2:$D$75,0)),""))</f>
        <v/>
      </c>
      <c r="J561" s="11" t="str">
        <f aca="false">IF(COUNT(D561:G561)=0,"",COUNT(D561:G561))</f>
        <v/>
      </c>
      <c r="K561" s="12" t="str">
        <f aca="false">IF(OR(J561="",I561=""),"",IF(MIN(D561:G561)&gt;=I561,"Add load (smallest step)",IF(MAX(D561:G561)&lt;H561,"Below range: if again, drop 5–10%","Same load, add reps")))</f>
        <v/>
      </c>
      <c r="L561" s="20"/>
      <c r="M561" s="11" t="str">
        <f aca="false">IF(OR(L561="",C561="",H561="",C561=0),"",MAX(H561,ROUNDUP(30*((L561/C561)*(1+H561/30)-1),0)))</f>
        <v/>
      </c>
    </row>
    <row r="562" customFormat="false" ht="15" hidden="false" customHeight="false" outlineLevel="0" collapsed="false">
      <c r="A562" s="51"/>
      <c r="B562" s="54"/>
      <c r="C562" s="20"/>
      <c r="D562" s="20"/>
      <c r="E562" s="20"/>
      <c r="F562" s="20"/>
      <c r="G562" s="20"/>
      <c r="H562" s="11" t="str">
        <f aca="false">IF(B562="","",IFERROR(INDEX(Program!$H$2:$H$75,MATCH(B562,Program!$D$2:$D$75,0)),""))</f>
        <v/>
      </c>
      <c r="I562" s="11" t="str">
        <f aca="false">IF(B562="","",IFERROR(INDEX(Program!$I$2:$I$75,MATCH(B562,Program!$D$2:$D$75,0)),""))</f>
        <v/>
      </c>
      <c r="J562" s="11" t="str">
        <f aca="false">IF(COUNT(D562:G562)=0,"",COUNT(D562:G562))</f>
        <v/>
      </c>
      <c r="K562" s="12" t="str">
        <f aca="false">IF(OR(J562="",I562=""),"",IF(MIN(D562:G562)&gt;=I562,"Add load (smallest step)",IF(MAX(D562:G562)&lt;H562,"Below range: if again, drop 5–10%","Same load, add reps")))</f>
        <v/>
      </c>
      <c r="L562" s="20"/>
      <c r="M562" s="11" t="str">
        <f aca="false">IF(OR(L562="",C562="",H562="",C562=0),"",MAX(H562,ROUNDUP(30*((L562/C562)*(1+H562/30)-1),0)))</f>
        <v/>
      </c>
    </row>
    <row r="563" customFormat="false" ht="15" hidden="false" customHeight="false" outlineLevel="0" collapsed="false">
      <c r="A563" s="51"/>
      <c r="B563" s="54"/>
      <c r="C563" s="20"/>
      <c r="D563" s="20"/>
      <c r="E563" s="20"/>
      <c r="F563" s="20"/>
      <c r="G563" s="20"/>
      <c r="H563" s="11" t="str">
        <f aca="false">IF(B563="","",IFERROR(INDEX(Program!$H$2:$H$75,MATCH(B563,Program!$D$2:$D$75,0)),""))</f>
        <v/>
      </c>
      <c r="I563" s="11" t="str">
        <f aca="false">IF(B563="","",IFERROR(INDEX(Program!$I$2:$I$75,MATCH(B563,Program!$D$2:$D$75,0)),""))</f>
        <v/>
      </c>
      <c r="J563" s="11" t="str">
        <f aca="false">IF(COUNT(D563:G563)=0,"",COUNT(D563:G563))</f>
        <v/>
      </c>
      <c r="K563" s="12" t="str">
        <f aca="false">IF(OR(J563="",I563=""),"",IF(MIN(D563:G563)&gt;=I563,"Add load (smallest step)",IF(MAX(D563:G563)&lt;H563,"Below range: if again, drop 5–10%","Same load, add reps")))</f>
        <v/>
      </c>
      <c r="L563" s="20"/>
      <c r="M563" s="11" t="str">
        <f aca="false">IF(OR(L563="",C563="",H563="",C563=0),"",MAX(H563,ROUNDUP(30*((L563/C563)*(1+H563/30)-1),0)))</f>
        <v/>
      </c>
    </row>
    <row r="564" customFormat="false" ht="15" hidden="false" customHeight="false" outlineLevel="0" collapsed="false">
      <c r="A564" s="51"/>
      <c r="B564" s="54"/>
      <c r="C564" s="20"/>
      <c r="D564" s="20"/>
      <c r="E564" s="20"/>
      <c r="F564" s="20"/>
      <c r="G564" s="20"/>
      <c r="H564" s="11" t="str">
        <f aca="false">IF(B564="","",IFERROR(INDEX(Program!$H$2:$H$75,MATCH(B564,Program!$D$2:$D$75,0)),""))</f>
        <v/>
      </c>
      <c r="I564" s="11" t="str">
        <f aca="false">IF(B564="","",IFERROR(INDEX(Program!$I$2:$I$75,MATCH(B564,Program!$D$2:$D$75,0)),""))</f>
        <v/>
      </c>
      <c r="J564" s="11" t="str">
        <f aca="false">IF(COUNT(D564:G564)=0,"",COUNT(D564:G564))</f>
        <v/>
      </c>
      <c r="K564" s="12" t="str">
        <f aca="false">IF(OR(J564="",I564=""),"",IF(MIN(D564:G564)&gt;=I564,"Add load (smallest step)",IF(MAX(D564:G564)&lt;H564,"Below range: if again, drop 5–10%","Same load, add reps")))</f>
        <v/>
      </c>
      <c r="L564" s="20"/>
      <c r="M564" s="11" t="str">
        <f aca="false">IF(OR(L564="",C564="",H564="",C564=0),"",MAX(H564,ROUNDUP(30*((L564/C564)*(1+H564/30)-1),0)))</f>
        <v/>
      </c>
    </row>
    <row r="565" customFormat="false" ht="15" hidden="false" customHeight="false" outlineLevel="0" collapsed="false">
      <c r="A565" s="51"/>
      <c r="B565" s="54"/>
      <c r="C565" s="20"/>
      <c r="D565" s="20"/>
      <c r="E565" s="20"/>
      <c r="F565" s="20"/>
      <c r="G565" s="20"/>
      <c r="H565" s="11" t="str">
        <f aca="false">IF(B565="","",IFERROR(INDEX(Program!$H$2:$H$75,MATCH(B565,Program!$D$2:$D$75,0)),""))</f>
        <v/>
      </c>
      <c r="I565" s="11" t="str">
        <f aca="false">IF(B565="","",IFERROR(INDEX(Program!$I$2:$I$75,MATCH(B565,Program!$D$2:$D$75,0)),""))</f>
        <v/>
      </c>
      <c r="J565" s="11" t="str">
        <f aca="false">IF(COUNT(D565:G565)=0,"",COUNT(D565:G565))</f>
        <v/>
      </c>
      <c r="K565" s="12" t="str">
        <f aca="false">IF(OR(J565="",I565=""),"",IF(MIN(D565:G565)&gt;=I565,"Add load (smallest step)",IF(MAX(D565:G565)&lt;H565,"Below range: if again, drop 5–10%","Same load, add reps")))</f>
        <v/>
      </c>
      <c r="L565" s="20"/>
      <c r="M565" s="11" t="str">
        <f aca="false">IF(OR(L565="",C565="",H565="",C565=0),"",MAX(H565,ROUNDUP(30*((L565/C565)*(1+H565/30)-1),0)))</f>
        <v/>
      </c>
    </row>
    <row r="566" customFormat="false" ht="15" hidden="false" customHeight="false" outlineLevel="0" collapsed="false">
      <c r="A566" s="51"/>
      <c r="B566" s="54"/>
      <c r="C566" s="20"/>
      <c r="D566" s="20"/>
      <c r="E566" s="20"/>
      <c r="F566" s="20"/>
      <c r="G566" s="20"/>
      <c r="H566" s="11" t="str">
        <f aca="false">IF(B566="","",IFERROR(INDEX(Program!$H$2:$H$75,MATCH(B566,Program!$D$2:$D$75,0)),""))</f>
        <v/>
      </c>
      <c r="I566" s="11" t="str">
        <f aca="false">IF(B566="","",IFERROR(INDEX(Program!$I$2:$I$75,MATCH(B566,Program!$D$2:$D$75,0)),""))</f>
        <v/>
      </c>
      <c r="J566" s="11" t="str">
        <f aca="false">IF(COUNT(D566:G566)=0,"",COUNT(D566:G566))</f>
        <v/>
      </c>
      <c r="K566" s="12" t="str">
        <f aca="false">IF(OR(J566="",I566=""),"",IF(MIN(D566:G566)&gt;=I566,"Add load (smallest step)",IF(MAX(D566:G566)&lt;H566,"Below range: if again, drop 5–10%","Same load, add reps")))</f>
        <v/>
      </c>
      <c r="L566" s="20"/>
      <c r="M566" s="11" t="str">
        <f aca="false">IF(OR(L566="",C566="",H566="",C566=0),"",MAX(H566,ROUNDUP(30*((L566/C566)*(1+H566/30)-1),0)))</f>
        <v/>
      </c>
    </row>
    <row r="567" customFormat="false" ht="15" hidden="false" customHeight="false" outlineLevel="0" collapsed="false">
      <c r="A567" s="51"/>
      <c r="B567" s="54"/>
      <c r="C567" s="20"/>
      <c r="D567" s="20"/>
      <c r="E567" s="20"/>
      <c r="F567" s="20"/>
      <c r="G567" s="20"/>
      <c r="H567" s="11" t="str">
        <f aca="false">IF(B567="","",IFERROR(INDEX(Program!$H$2:$H$75,MATCH(B567,Program!$D$2:$D$75,0)),""))</f>
        <v/>
      </c>
      <c r="I567" s="11" t="str">
        <f aca="false">IF(B567="","",IFERROR(INDEX(Program!$I$2:$I$75,MATCH(B567,Program!$D$2:$D$75,0)),""))</f>
        <v/>
      </c>
      <c r="J567" s="11" t="str">
        <f aca="false">IF(COUNT(D567:G567)=0,"",COUNT(D567:G567))</f>
        <v/>
      </c>
      <c r="K567" s="12" t="str">
        <f aca="false">IF(OR(J567="",I567=""),"",IF(MIN(D567:G567)&gt;=I567,"Add load (smallest step)",IF(MAX(D567:G567)&lt;H567,"Below range: if again, drop 5–10%","Same load, add reps")))</f>
        <v/>
      </c>
      <c r="L567" s="20"/>
      <c r="M567" s="11" t="str">
        <f aca="false">IF(OR(L567="",C567="",H567="",C567=0),"",MAX(H567,ROUNDUP(30*((L567/C567)*(1+H567/30)-1),0)))</f>
        <v/>
      </c>
    </row>
    <row r="568" customFormat="false" ht="15" hidden="false" customHeight="false" outlineLevel="0" collapsed="false">
      <c r="A568" s="51"/>
      <c r="B568" s="54"/>
      <c r="C568" s="20"/>
      <c r="D568" s="20"/>
      <c r="E568" s="20"/>
      <c r="F568" s="20"/>
      <c r="G568" s="20"/>
      <c r="H568" s="11" t="str">
        <f aca="false">IF(B568="","",IFERROR(INDEX(Program!$H$2:$H$75,MATCH(B568,Program!$D$2:$D$75,0)),""))</f>
        <v/>
      </c>
      <c r="I568" s="11" t="str">
        <f aca="false">IF(B568="","",IFERROR(INDEX(Program!$I$2:$I$75,MATCH(B568,Program!$D$2:$D$75,0)),""))</f>
        <v/>
      </c>
      <c r="J568" s="11" t="str">
        <f aca="false">IF(COUNT(D568:G568)=0,"",COUNT(D568:G568))</f>
        <v/>
      </c>
      <c r="K568" s="12" t="str">
        <f aca="false">IF(OR(J568="",I568=""),"",IF(MIN(D568:G568)&gt;=I568,"Add load (smallest step)",IF(MAX(D568:G568)&lt;H568,"Below range: if again, drop 5–10%","Same load, add reps")))</f>
        <v/>
      </c>
      <c r="L568" s="20"/>
      <c r="M568" s="11" t="str">
        <f aca="false">IF(OR(L568="",C568="",H568="",C568=0),"",MAX(H568,ROUNDUP(30*((L568/C568)*(1+H568/30)-1),0)))</f>
        <v/>
      </c>
    </row>
    <row r="569" customFormat="false" ht="15" hidden="false" customHeight="false" outlineLevel="0" collapsed="false">
      <c r="A569" s="51"/>
      <c r="B569" s="54"/>
      <c r="C569" s="20"/>
      <c r="D569" s="20"/>
      <c r="E569" s="20"/>
      <c r="F569" s="20"/>
      <c r="G569" s="20"/>
      <c r="H569" s="11" t="str">
        <f aca="false">IF(B569="","",IFERROR(INDEX(Program!$H$2:$H$75,MATCH(B569,Program!$D$2:$D$75,0)),""))</f>
        <v/>
      </c>
      <c r="I569" s="11" t="str">
        <f aca="false">IF(B569="","",IFERROR(INDEX(Program!$I$2:$I$75,MATCH(B569,Program!$D$2:$D$75,0)),""))</f>
        <v/>
      </c>
      <c r="J569" s="11" t="str">
        <f aca="false">IF(COUNT(D569:G569)=0,"",COUNT(D569:G569))</f>
        <v/>
      </c>
      <c r="K569" s="12" t="str">
        <f aca="false">IF(OR(J569="",I569=""),"",IF(MIN(D569:G569)&gt;=I569,"Add load (smallest step)",IF(MAX(D569:G569)&lt;H569,"Below range: if again, drop 5–10%","Same load, add reps")))</f>
        <v/>
      </c>
      <c r="L569" s="20"/>
      <c r="M569" s="11" t="str">
        <f aca="false">IF(OR(L569="",C569="",H569="",C569=0),"",MAX(H569,ROUNDUP(30*((L569/C569)*(1+H569/30)-1),0)))</f>
        <v/>
      </c>
    </row>
    <row r="570" customFormat="false" ht="15" hidden="false" customHeight="false" outlineLevel="0" collapsed="false">
      <c r="A570" s="51"/>
      <c r="B570" s="54"/>
      <c r="C570" s="20"/>
      <c r="D570" s="20"/>
      <c r="E570" s="20"/>
      <c r="F570" s="20"/>
      <c r="G570" s="20"/>
      <c r="H570" s="11" t="str">
        <f aca="false">IF(B570="","",IFERROR(INDEX(Program!$H$2:$H$75,MATCH(B570,Program!$D$2:$D$75,0)),""))</f>
        <v/>
      </c>
      <c r="I570" s="11" t="str">
        <f aca="false">IF(B570="","",IFERROR(INDEX(Program!$I$2:$I$75,MATCH(B570,Program!$D$2:$D$75,0)),""))</f>
        <v/>
      </c>
      <c r="J570" s="11" t="str">
        <f aca="false">IF(COUNT(D570:G570)=0,"",COUNT(D570:G570))</f>
        <v/>
      </c>
      <c r="K570" s="12" t="str">
        <f aca="false">IF(OR(J570="",I570=""),"",IF(MIN(D570:G570)&gt;=I570,"Add load (smallest step)",IF(MAX(D570:G570)&lt;H570,"Below range: if again, drop 5–10%","Same load, add reps")))</f>
        <v/>
      </c>
      <c r="L570" s="20"/>
      <c r="M570" s="11" t="str">
        <f aca="false">IF(OR(L570="",C570="",H570="",C570=0),"",MAX(H570,ROUNDUP(30*((L570/C570)*(1+H570/30)-1),0)))</f>
        <v/>
      </c>
    </row>
    <row r="571" customFormat="false" ht="15" hidden="false" customHeight="false" outlineLevel="0" collapsed="false">
      <c r="A571" s="51"/>
      <c r="B571" s="54"/>
      <c r="C571" s="20"/>
      <c r="D571" s="20"/>
      <c r="E571" s="20"/>
      <c r="F571" s="20"/>
      <c r="G571" s="20"/>
      <c r="H571" s="11" t="str">
        <f aca="false">IF(B571="","",IFERROR(INDEX(Program!$H$2:$H$75,MATCH(B571,Program!$D$2:$D$75,0)),""))</f>
        <v/>
      </c>
      <c r="I571" s="11" t="str">
        <f aca="false">IF(B571="","",IFERROR(INDEX(Program!$I$2:$I$75,MATCH(B571,Program!$D$2:$D$75,0)),""))</f>
        <v/>
      </c>
      <c r="J571" s="11" t="str">
        <f aca="false">IF(COUNT(D571:G571)=0,"",COUNT(D571:G571))</f>
        <v/>
      </c>
      <c r="K571" s="12" t="str">
        <f aca="false">IF(OR(J571="",I571=""),"",IF(MIN(D571:G571)&gt;=I571,"Add load (smallest step)",IF(MAX(D571:G571)&lt;H571,"Below range: if again, drop 5–10%","Same load, add reps")))</f>
        <v/>
      </c>
      <c r="L571" s="20"/>
      <c r="M571" s="11" t="str">
        <f aca="false">IF(OR(L571="",C571="",H571="",C571=0),"",MAX(H571,ROUNDUP(30*((L571/C571)*(1+H571/30)-1),0)))</f>
        <v/>
      </c>
    </row>
    <row r="572" customFormat="false" ht="15" hidden="false" customHeight="false" outlineLevel="0" collapsed="false">
      <c r="A572" s="51"/>
      <c r="B572" s="54"/>
      <c r="C572" s="20"/>
      <c r="D572" s="20"/>
      <c r="E572" s="20"/>
      <c r="F572" s="20"/>
      <c r="G572" s="20"/>
      <c r="H572" s="11" t="str">
        <f aca="false">IF(B572="","",IFERROR(INDEX(Program!$H$2:$H$75,MATCH(B572,Program!$D$2:$D$75,0)),""))</f>
        <v/>
      </c>
      <c r="I572" s="11" t="str">
        <f aca="false">IF(B572="","",IFERROR(INDEX(Program!$I$2:$I$75,MATCH(B572,Program!$D$2:$D$75,0)),""))</f>
        <v/>
      </c>
      <c r="J572" s="11" t="str">
        <f aca="false">IF(COUNT(D572:G572)=0,"",COUNT(D572:G572))</f>
        <v/>
      </c>
      <c r="K572" s="12" t="str">
        <f aca="false">IF(OR(J572="",I572=""),"",IF(MIN(D572:G572)&gt;=I572,"Add load (smallest step)",IF(MAX(D572:G572)&lt;H572,"Below range: if again, drop 5–10%","Same load, add reps")))</f>
        <v/>
      </c>
      <c r="L572" s="20"/>
      <c r="M572" s="11" t="str">
        <f aca="false">IF(OR(L572="",C572="",H572="",C572=0),"",MAX(H572,ROUNDUP(30*((L572/C572)*(1+H572/30)-1),0)))</f>
        <v/>
      </c>
    </row>
    <row r="573" customFormat="false" ht="15" hidden="false" customHeight="false" outlineLevel="0" collapsed="false">
      <c r="A573" s="51"/>
      <c r="B573" s="54"/>
      <c r="C573" s="20"/>
      <c r="D573" s="20"/>
      <c r="E573" s="20"/>
      <c r="F573" s="20"/>
      <c r="G573" s="20"/>
      <c r="H573" s="11" t="str">
        <f aca="false">IF(B573="","",IFERROR(INDEX(Program!$H$2:$H$75,MATCH(B573,Program!$D$2:$D$75,0)),""))</f>
        <v/>
      </c>
      <c r="I573" s="11" t="str">
        <f aca="false">IF(B573="","",IFERROR(INDEX(Program!$I$2:$I$75,MATCH(B573,Program!$D$2:$D$75,0)),""))</f>
        <v/>
      </c>
      <c r="J573" s="11" t="str">
        <f aca="false">IF(COUNT(D573:G573)=0,"",COUNT(D573:G573))</f>
        <v/>
      </c>
      <c r="K573" s="12" t="str">
        <f aca="false">IF(OR(J573="",I573=""),"",IF(MIN(D573:G573)&gt;=I573,"Add load (smallest step)",IF(MAX(D573:G573)&lt;H573,"Below range: if again, drop 5–10%","Same load, add reps")))</f>
        <v/>
      </c>
      <c r="L573" s="20"/>
      <c r="M573" s="11" t="str">
        <f aca="false">IF(OR(L573="",C573="",H573="",C573=0),"",MAX(H573,ROUNDUP(30*((L573/C573)*(1+H573/30)-1),0)))</f>
        <v/>
      </c>
    </row>
    <row r="574" customFormat="false" ht="15" hidden="false" customHeight="false" outlineLevel="0" collapsed="false">
      <c r="A574" s="51"/>
      <c r="B574" s="54"/>
      <c r="C574" s="20"/>
      <c r="D574" s="20"/>
      <c r="E574" s="20"/>
      <c r="F574" s="20"/>
      <c r="G574" s="20"/>
      <c r="H574" s="11" t="str">
        <f aca="false">IF(B574="","",IFERROR(INDEX(Program!$H$2:$H$75,MATCH(B574,Program!$D$2:$D$75,0)),""))</f>
        <v/>
      </c>
      <c r="I574" s="11" t="str">
        <f aca="false">IF(B574="","",IFERROR(INDEX(Program!$I$2:$I$75,MATCH(B574,Program!$D$2:$D$75,0)),""))</f>
        <v/>
      </c>
      <c r="J574" s="11" t="str">
        <f aca="false">IF(COUNT(D574:G574)=0,"",COUNT(D574:G574))</f>
        <v/>
      </c>
      <c r="K574" s="12" t="str">
        <f aca="false">IF(OR(J574="",I574=""),"",IF(MIN(D574:G574)&gt;=I574,"Add load (smallest step)",IF(MAX(D574:G574)&lt;H574,"Below range: if again, drop 5–10%","Same load, add reps")))</f>
        <v/>
      </c>
      <c r="L574" s="20"/>
      <c r="M574" s="11" t="str">
        <f aca="false">IF(OR(L574="",C574="",H574="",C574=0),"",MAX(H574,ROUNDUP(30*((L574/C574)*(1+H574/30)-1),0)))</f>
        <v/>
      </c>
    </row>
    <row r="575" customFormat="false" ht="15" hidden="false" customHeight="false" outlineLevel="0" collapsed="false">
      <c r="A575" s="51"/>
      <c r="B575" s="54"/>
      <c r="C575" s="20"/>
      <c r="D575" s="20"/>
      <c r="E575" s="20"/>
      <c r="F575" s="20"/>
      <c r="G575" s="20"/>
      <c r="H575" s="11" t="str">
        <f aca="false">IF(B575="","",IFERROR(INDEX(Program!$H$2:$H$75,MATCH(B575,Program!$D$2:$D$75,0)),""))</f>
        <v/>
      </c>
      <c r="I575" s="11" t="str">
        <f aca="false">IF(B575="","",IFERROR(INDEX(Program!$I$2:$I$75,MATCH(B575,Program!$D$2:$D$75,0)),""))</f>
        <v/>
      </c>
      <c r="J575" s="11" t="str">
        <f aca="false">IF(COUNT(D575:G575)=0,"",COUNT(D575:G575))</f>
        <v/>
      </c>
      <c r="K575" s="12" t="str">
        <f aca="false">IF(OR(J575="",I575=""),"",IF(MIN(D575:G575)&gt;=I575,"Add load (smallest step)",IF(MAX(D575:G575)&lt;H575,"Below range: if again, drop 5–10%","Same load, add reps")))</f>
        <v/>
      </c>
      <c r="L575" s="20"/>
      <c r="M575" s="11" t="str">
        <f aca="false">IF(OR(L575="",C575="",H575="",C575=0),"",MAX(H575,ROUNDUP(30*((L575/C575)*(1+H575/30)-1),0)))</f>
        <v/>
      </c>
    </row>
    <row r="576" customFormat="false" ht="15" hidden="false" customHeight="false" outlineLevel="0" collapsed="false">
      <c r="A576" s="51"/>
      <c r="B576" s="54"/>
      <c r="C576" s="20"/>
      <c r="D576" s="20"/>
      <c r="E576" s="20"/>
      <c r="F576" s="20"/>
      <c r="G576" s="20"/>
      <c r="H576" s="11" t="str">
        <f aca="false">IF(B576="","",IFERROR(INDEX(Program!$H$2:$H$75,MATCH(B576,Program!$D$2:$D$75,0)),""))</f>
        <v/>
      </c>
      <c r="I576" s="11" t="str">
        <f aca="false">IF(B576="","",IFERROR(INDEX(Program!$I$2:$I$75,MATCH(B576,Program!$D$2:$D$75,0)),""))</f>
        <v/>
      </c>
      <c r="J576" s="11" t="str">
        <f aca="false">IF(COUNT(D576:G576)=0,"",COUNT(D576:G576))</f>
        <v/>
      </c>
      <c r="K576" s="12" t="str">
        <f aca="false">IF(OR(J576="",I576=""),"",IF(MIN(D576:G576)&gt;=I576,"Add load (smallest step)",IF(MAX(D576:G576)&lt;H576,"Below range: if again, drop 5–10%","Same load, add reps")))</f>
        <v/>
      </c>
      <c r="L576" s="20"/>
      <c r="M576" s="11" t="str">
        <f aca="false">IF(OR(L576="",C576="",H576="",C576=0),"",MAX(H576,ROUNDUP(30*((L576/C576)*(1+H576/30)-1),0)))</f>
        <v/>
      </c>
    </row>
    <row r="577" customFormat="false" ht="15" hidden="false" customHeight="false" outlineLevel="0" collapsed="false">
      <c r="A577" s="51"/>
      <c r="B577" s="54"/>
      <c r="C577" s="20"/>
      <c r="D577" s="20"/>
      <c r="E577" s="20"/>
      <c r="F577" s="20"/>
      <c r="G577" s="20"/>
      <c r="H577" s="11" t="str">
        <f aca="false">IF(B577="","",IFERROR(INDEX(Program!$H$2:$H$75,MATCH(B577,Program!$D$2:$D$75,0)),""))</f>
        <v/>
      </c>
      <c r="I577" s="11" t="str">
        <f aca="false">IF(B577="","",IFERROR(INDEX(Program!$I$2:$I$75,MATCH(B577,Program!$D$2:$D$75,0)),""))</f>
        <v/>
      </c>
      <c r="J577" s="11" t="str">
        <f aca="false">IF(COUNT(D577:G577)=0,"",COUNT(D577:G577))</f>
        <v/>
      </c>
      <c r="K577" s="12" t="str">
        <f aca="false">IF(OR(J577="",I577=""),"",IF(MIN(D577:G577)&gt;=I577,"Add load (smallest step)",IF(MAX(D577:G577)&lt;H577,"Below range: if again, drop 5–10%","Same load, add reps")))</f>
        <v/>
      </c>
      <c r="L577" s="20"/>
      <c r="M577" s="11" t="str">
        <f aca="false">IF(OR(L577="",C577="",H577="",C577=0),"",MAX(H577,ROUNDUP(30*((L577/C577)*(1+H577/30)-1),0)))</f>
        <v/>
      </c>
    </row>
    <row r="578" customFormat="false" ht="15" hidden="false" customHeight="false" outlineLevel="0" collapsed="false">
      <c r="A578" s="51"/>
      <c r="B578" s="54"/>
      <c r="C578" s="20"/>
      <c r="D578" s="20"/>
      <c r="E578" s="20"/>
      <c r="F578" s="20"/>
      <c r="G578" s="20"/>
      <c r="H578" s="11" t="str">
        <f aca="false">IF(B578="","",IFERROR(INDEX(Program!$H$2:$H$75,MATCH(B578,Program!$D$2:$D$75,0)),""))</f>
        <v/>
      </c>
      <c r="I578" s="11" t="str">
        <f aca="false">IF(B578="","",IFERROR(INDEX(Program!$I$2:$I$75,MATCH(B578,Program!$D$2:$D$75,0)),""))</f>
        <v/>
      </c>
      <c r="J578" s="11" t="str">
        <f aca="false">IF(COUNT(D578:G578)=0,"",COUNT(D578:G578))</f>
        <v/>
      </c>
      <c r="K578" s="12" t="str">
        <f aca="false">IF(OR(J578="",I578=""),"",IF(MIN(D578:G578)&gt;=I578,"Add load (smallest step)",IF(MAX(D578:G578)&lt;H578,"Below range: if again, drop 5–10%","Same load, add reps")))</f>
        <v/>
      </c>
      <c r="L578" s="20"/>
      <c r="M578" s="11" t="str">
        <f aca="false">IF(OR(L578="",C578="",H578="",C578=0),"",MAX(H578,ROUNDUP(30*((L578/C578)*(1+H578/30)-1),0)))</f>
        <v/>
      </c>
    </row>
    <row r="579" customFormat="false" ht="15" hidden="false" customHeight="false" outlineLevel="0" collapsed="false">
      <c r="A579" s="51"/>
      <c r="B579" s="54"/>
      <c r="C579" s="20"/>
      <c r="D579" s="20"/>
      <c r="E579" s="20"/>
      <c r="F579" s="20"/>
      <c r="G579" s="20"/>
      <c r="H579" s="11" t="str">
        <f aca="false">IF(B579="","",IFERROR(INDEX(Program!$H$2:$H$75,MATCH(B579,Program!$D$2:$D$75,0)),""))</f>
        <v/>
      </c>
      <c r="I579" s="11" t="str">
        <f aca="false">IF(B579="","",IFERROR(INDEX(Program!$I$2:$I$75,MATCH(B579,Program!$D$2:$D$75,0)),""))</f>
        <v/>
      </c>
      <c r="J579" s="11" t="str">
        <f aca="false">IF(COUNT(D579:G579)=0,"",COUNT(D579:G579))</f>
        <v/>
      </c>
      <c r="K579" s="12" t="str">
        <f aca="false">IF(OR(J579="",I579=""),"",IF(MIN(D579:G579)&gt;=I579,"Add load (smallest step)",IF(MAX(D579:G579)&lt;H579,"Below range: if again, drop 5–10%","Same load, add reps")))</f>
        <v/>
      </c>
      <c r="L579" s="20"/>
      <c r="M579" s="11" t="str">
        <f aca="false">IF(OR(L579="",C579="",H579="",C579=0),"",MAX(H579,ROUNDUP(30*((L579/C579)*(1+H579/30)-1),0)))</f>
        <v/>
      </c>
    </row>
    <row r="580" customFormat="false" ht="15" hidden="false" customHeight="false" outlineLevel="0" collapsed="false">
      <c r="A580" s="51"/>
      <c r="B580" s="54"/>
      <c r="C580" s="20"/>
      <c r="D580" s="20"/>
      <c r="E580" s="20"/>
      <c r="F580" s="20"/>
      <c r="G580" s="20"/>
      <c r="H580" s="11" t="str">
        <f aca="false">IF(B580="","",IFERROR(INDEX(Program!$H$2:$H$75,MATCH(B580,Program!$D$2:$D$75,0)),""))</f>
        <v/>
      </c>
      <c r="I580" s="11" t="str">
        <f aca="false">IF(B580="","",IFERROR(INDEX(Program!$I$2:$I$75,MATCH(B580,Program!$D$2:$D$75,0)),""))</f>
        <v/>
      </c>
      <c r="J580" s="11" t="str">
        <f aca="false">IF(COUNT(D580:G580)=0,"",COUNT(D580:G580))</f>
        <v/>
      </c>
      <c r="K580" s="12" t="str">
        <f aca="false">IF(OR(J580="",I580=""),"",IF(MIN(D580:G580)&gt;=I580,"Add load (smallest step)",IF(MAX(D580:G580)&lt;H580,"Below range: if again, drop 5–10%","Same load, add reps")))</f>
        <v/>
      </c>
      <c r="L580" s="20"/>
      <c r="M580" s="11" t="str">
        <f aca="false">IF(OR(L580="",C580="",H580="",C580=0),"",MAX(H580,ROUNDUP(30*((L580/C580)*(1+H580/30)-1),0)))</f>
        <v/>
      </c>
    </row>
    <row r="581" customFormat="false" ht="15" hidden="false" customHeight="false" outlineLevel="0" collapsed="false">
      <c r="A581" s="51"/>
      <c r="B581" s="54"/>
      <c r="C581" s="20"/>
      <c r="D581" s="20"/>
      <c r="E581" s="20"/>
      <c r="F581" s="20"/>
      <c r="G581" s="20"/>
      <c r="H581" s="11" t="str">
        <f aca="false">IF(B581="","",IFERROR(INDEX(Program!$H$2:$H$75,MATCH(B581,Program!$D$2:$D$75,0)),""))</f>
        <v/>
      </c>
      <c r="I581" s="11" t="str">
        <f aca="false">IF(B581="","",IFERROR(INDEX(Program!$I$2:$I$75,MATCH(B581,Program!$D$2:$D$75,0)),""))</f>
        <v/>
      </c>
      <c r="J581" s="11" t="str">
        <f aca="false">IF(COUNT(D581:G581)=0,"",COUNT(D581:G581))</f>
        <v/>
      </c>
      <c r="K581" s="12" t="str">
        <f aca="false">IF(OR(J581="",I581=""),"",IF(MIN(D581:G581)&gt;=I581,"Add load (smallest step)",IF(MAX(D581:G581)&lt;H581,"Below range: if again, drop 5–10%","Same load, add reps")))</f>
        <v/>
      </c>
      <c r="L581" s="20"/>
      <c r="M581" s="11" t="str">
        <f aca="false">IF(OR(L581="",C581="",H581="",C581=0),"",MAX(H581,ROUNDUP(30*((L581/C581)*(1+H581/30)-1),0)))</f>
        <v/>
      </c>
    </row>
    <row r="582" customFormat="false" ht="15" hidden="false" customHeight="false" outlineLevel="0" collapsed="false">
      <c r="A582" s="51"/>
      <c r="B582" s="54"/>
      <c r="C582" s="20"/>
      <c r="D582" s="20"/>
      <c r="E582" s="20"/>
      <c r="F582" s="20"/>
      <c r="G582" s="20"/>
      <c r="H582" s="11" t="str">
        <f aca="false">IF(B582="","",IFERROR(INDEX(Program!$H$2:$H$75,MATCH(B582,Program!$D$2:$D$75,0)),""))</f>
        <v/>
      </c>
      <c r="I582" s="11" t="str">
        <f aca="false">IF(B582="","",IFERROR(INDEX(Program!$I$2:$I$75,MATCH(B582,Program!$D$2:$D$75,0)),""))</f>
        <v/>
      </c>
      <c r="J582" s="11" t="str">
        <f aca="false">IF(COUNT(D582:G582)=0,"",COUNT(D582:G582))</f>
        <v/>
      </c>
      <c r="K582" s="12" t="str">
        <f aca="false">IF(OR(J582="",I582=""),"",IF(MIN(D582:G582)&gt;=I582,"Add load (smallest step)",IF(MAX(D582:G582)&lt;H582,"Below range: if again, drop 5–10%","Same load, add reps")))</f>
        <v/>
      </c>
      <c r="L582" s="20"/>
      <c r="M582" s="11" t="str">
        <f aca="false">IF(OR(L582="",C582="",H582="",C582=0),"",MAX(H582,ROUNDUP(30*((L582/C582)*(1+H582/30)-1),0)))</f>
        <v/>
      </c>
    </row>
    <row r="583" customFormat="false" ht="15" hidden="false" customHeight="false" outlineLevel="0" collapsed="false">
      <c r="A583" s="51"/>
      <c r="B583" s="54"/>
      <c r="C583" s="20"/>
      <c r="D583" s="20"/>
      <c r="E583" s="20"/>
      <c r="F583" s="20"/>
      <c r="G583" s="20"/>
      <c r="H583" s="11" t="str">
        <f aca="false">IF(B583="","",IFERROR(INDEX(Program!$H$2:$H$75,MATCH(B583,Program!$D$2:$D$75,0)),""))</f>
        <v/>
      </c>
      <c r="I583" s="11" t="str">
        <f aca="false">IF(B583="","",IFERROR(INDEX(Program!$I$2:$I$75,MATCH(B583,Program!$D$2:$D$75,0)),""))</f>
        <v/>
      </c>
      <c r="J583" s="11" t="str">
        <f aca="false">IF(COUNT(D583:G583)=0,"",COUNT(D583:G583))</f>
        <v/>
      </c>
      <c r="K583" s="12" t="str">
        <f aca="false">IF(OR(J583="",I583=""),"",IF(MIN(D583:G583)&gt;=I583,"Add load (smallest step)",IF(MAX(D583:G583)&lt;H583,"Below range: if again, drop 5–10%","Same load, add reps")))</f>
        <v/>
      </c>
      <c r="L583" s="20"/>
      <c r="M583" s="11" t="str">
        <f aca="false">IF(OR(L583="",C583="",H583="",C583=0),"",MAX(H583,ROUNDUP(30*((L583/C583)*(1+H583/30)-1),0)))</f>
        <v/>
      </c>
    </row>
    <row r="584" customFormat="false" ht="15" hidden="false" customHeight="false" outlineLevel="0" collapsed="false">
      <c r="A584" s="51"/>
      <c r="B584" s="54"/>
      <c r="C584" s="20"/>
      <c r="D584" s="20"/>
      <c r="E584" s="20"/>
      <c r="F584" s="20"/>
      <c r="G584" s="20"/>
      <c r="H584" s="11" t="str">
        <f aca="false">IF(B584="","",IFERROR(INDEX(Program!$H$2:$H$75,MATCH(B584,Program!$D$2:$D$75,0)),""))</f>
        <v/>
      </c>
      <c r="I584" s="11" t="str">
        <f aca="false">IF(B584="","",IFERROR(INDEX(Program!$I$2:$I$75,MATCH(B584,Program!$D$2:$D$75,0)),""))</f>
        <v/>
      </c>
      <c r="J584" s="11" t="str">
        <f aca="false">IF(COUNT(D584:G584)=0,"",COUNT(D584:G584))</f>
        <v/>
      </c>
      <c r="K584" s="12" t="str">
        <f aca="false">IF(OR(J584="",I584=""),"",IF(MIN(D584:G584)&gt;=I584,"Add load (smallest step)",IF(MAX(D584:G584)&lt;H584,"Below range: if again, drop 5–10%","Same load, add reps")))</f>
        <v/>
      </c>
      <c r="L584" s="20"/>
      <c r="M584" s="11" t="str">
        <f aca="false">IF(OR(L584="",C584="",H584="",C584=0),"",MAX(H584,ROUNDUP(30*((L584/C584)*(1+H584/30)-1),0)))</f>
        <v/>
      </c>
    </row>
    <row r="585" customFormat="false" ht="15" hidden="false" customHeight="false" outlineLevel="0" collapsed="false">
      <c r="A585" s="51"/>
      <c r="B585" s="54"/>
      <c r="C585" s="20"/>
      <c r="D585" s="20"/>
      <c r="E585" s="20"/>
      <c r="F585" s="20"/>
      <c r="G585" s="20"/>
      <c r="H585" s="11" t="str">
        <f aca="false">IF(B585="","",IFERROR(INDEX(Program!$H$2:$H$75,MATCH(B585,Program!$D$2:$D$75,0)),""))</f>
        <v/>
      </c>
      <c r="I585" s="11" t="str">
        <f aca="false">IF(B585="","",IFERROR(INDEX(Program!$I$2:$I$75,MATCH(B585,Program!$D$2:$D$75,0)),""))</f>
        <v/>
      </c>
      <c r="J585" s="11" t="str">
        <f aca="false">IF(COUNT(D585:G585)=0,"",COUNT(D585:G585))</f>
        <v/>
      </c>
      <c r="K585" s="12" t="str">
        <f aca="false">IF(OR(J585="",I585=""),"",IF(MIN(D585:G585)&gt;=I585,"Add load (smallest step)",IF(MAX(D585:G585)&lt;H585,"Below range: if again, drop 5–10%","Same load, add reps")))</f>
        <v/>
      </c>
      <c r="L585" s="20"/>
      <c r="M585" s="11" t="str">
        <f aca="false">IF(OR(L585="",C585="",H585="",C585=0),"",MAX(H585,ROUNDUP(30*((L585/C585)*(1+H585/30)-1),0)))</f>
        <v/>
      </c>
    </row>
    <row r="586" customFormat="false" ht="15" hidden="false" customHeight="false" outlineLevel="0" collapsed="false">
      <c r="A586" s="51"/>
      <c r="B586" s="54"/>
      <c r="C586" s="20"/>
      <c r="D586" s="20"/>
      <c r="E586" s="20"/>
      <c r="F586" s="20"/>
      <c r="G586" s="20"/>
      <c r="H586" s="11" t="str">
        <f aca="false">IF(B586="","",IFERROR(INDEX(Program!$H$2:$H$75,MATCH(B586,Program!$D$2:$D$75,0)),""))</f>
        <v/>
      </c>
      <c r="I586" s="11" t="str">
        <f aca="false">IF(B586="","",IFERROR(INDEX(Program!$I$2:$I$75,MATCH(B586,Program!$D$2:$D$75,0)),""))</f>
        <v/>
      </c>
      <c r="J586" s="11" t="str">
        <f aca="false">IF(COUNT(D586:G586)=0,"",COUNT(D586:G586))</f>
        <v/>
      </c>
      <c r="K586" s="12" t="str">
        <f aca="false">IF(OR(J586="",I586=""),"",IF(MIN(D586:G586)&gt;=I586,"Add load (smallest step)",IF(MAX(D586:G586)&lt;H586,"Below range: if again, drop 5–10%","Same load, add reps")))</f>
        <v/>
      </c>
      <c r="L586" s="20"/>
      <c r="M586" s="11" t="str">
        <f aca="false">IF(OR(L586="",C586="",H586="",C586=0),"",MAX(H586,ROUNDUP(30*((L586/C586)*(1+H586/30)-1),0)))</f>
        <v/>
      </c>
    </row>
    <row r="587" customFormat="false" ht="15" hidden="false" customHeight="false" outlineLevel="0" collapsed="false">
      <c r="A587" s="51"/>
      <c r="B587" s="54"/>
      <c r="C587" s="20"/>
      <c r="D587" s="20"/>
      <c r="E587" s="20"/>
      <c r="F587" s="20"/>
      <c r="G587" s="20"/>
      <c r="H587" s="11" t="str">
        <f aca="false">IF(B587="","",IFERROR(INDEX(Program!$H$2:$H$75,MATCH(B587,Program!$D$2:$D$75,0)),""))</f>
        <v/>
      </c>
      <c r="I587" s="11" t="str">
        <f aca="false">IF(B587="","",IFERROR(INDEX(Program!$I$2:$I$75,MATCH(B587,Program!$D$2:$D$75,0)),""))</f>
        <v/>
      </c>
      <c r="J587" s="11" t="str">
        <f aca="false">IF(COUNT(D587:G587)=0,"",COUNT(D587:G587))</f>
        <v/>
      </c>
      <c r="K587" s="12" t="str">
        <f aca="false">IF(OR(J587="",I587=""),"",IF(MIN(D587:G587)&gt;=I587,"Add load (smallest step)",IF(MAX(D587:G587)&lt;H587,"Below range: if again, drop 5–10%","Same load, add reps")))</f>
        <v/>
      </c>
      <c r="L587" s="20"/>
      <c r="M587" s="11" t="str">
        <f aca="false">IF(OR(L587="",C587="",H587="",C587=0),"",MAX(H587,ROUNDUP(30*((L587/C587)*(1+H587/30)-1),0)))</f>
        <v/>
      </c>
    </row>
    <row r="588" customFormat="false" ht="15" hidden="false" customHeight="false" outlineLevel="0" collapsed="false">
      <c r="A588" s="51"/>
      <c r="B588" s="54"/>
      <c r="C588" s="20"/>
      <c r="D588" s="20"/>
      <c r="E588" s="20"/>
      <c r="F588" s="20"/>
      <c r="G588" s="20"/>
      <c r="H588" s="11" t="str">
        <f aca="false">IF(B588="","",IFERROR(INDEX(Program!$H$2:$H$75,MATCH(B588,Program!$D$2:$D$75,0)),""))</f>
        <v/>
      </c>
      <c r="I588" s="11" t="str">
        <f aca="false">IF(B588="","",IFERROR(INDEX(Program!$I$2:$I$75,MATCH(B588,Program!$D$2:$D$75,0)),""))</f>
        <v/>
      </c>
      <c r="J588" s="11" t="str">
        <f aca="false">IF(COUNT(D588:G588)=0,"",COUNT(D588:G588))</f>
        <v/>
      </c>
      <c r="K588" s="12" t="str">
        <f aca="false">IF(OR(J588="",I588=""),"",IF(MIN(D588:G588)&gt;=I588,"Add load (smallest step)",IF(MAX(D588:G588)&lt;H588,"Below range: if again, drop 5–10%","Same load, add reps")))</f>
        <v/>
      </c>
      <c r="L588" s="20"/>
      <c r="M588" s="11" t="str">
        <f aca="false">IF(OR(L588="",C588="",H588="",C588=0),"",MAX(H588,ROUNDUP(30*((L588/C588)*(1+H588/30)-1),0)))</f>
        <v/>
      </c>
    </row>
    <row r="589" customFormat="false" ht="15" hidden="false" customHeight="false" outlineLevel="0" collapsed="false">
      <c r="A589" s="51"/>
      <c r="B589" s="54"/>
      <c r="C589" s="20"/>
      <c r="D589" s="20"/>
      <c r="E589" s="20"/>
      <c r="F589" s="20"/>
      <c r="G589" s="20"/>
      <c r="H589" s="11" t="str">
        <f aca="false">IF(B589="","",IFERROR(INDEX(Program!$H$2:$H$75,MATCH(B589,Program!$D$2:$D$75,0)),""))</f>
        <v/>
      </c>
      <c r="I589" s="11" t="str">
        <f aca="false">IF(B589="","",IFERROR(INDEX(Program!$I$2:$I$75,MATCH(B589,Program!$D$2:$D$75,0)),""))</f>
        <v/>
      </c>
      <c r="J589" s="11" t="str">
        <f aca="false">IF(COUNT(D589:G589)=0,"",COUNT(D589:G589))</f>
        <v/>
      </c>
      <c r="K589" s="12" t="str">
        <f aca="false">IF(OR(J589="",I589=""),"",IF(MIN(D589:G589)&gt;=I589,"Add load (smallest step)",IF(MAX(D589:G589)&lt;H589,"Below range: if again, drop 5–10%","Same load, add reps")))</f>
        <v/>
      </c>
      <c r="L589" s="20"/>
      <c r="M589" s="11" t="str">
        <f aca="false">IF(OR(L589="",C589="",H589="",C589=0),"",MAX(H589,ROUNDUP(30*((L589/C589)*(1+H589/30)-1),0)))</f>
        <v/>
      </c>
    </row>
    <row r="590" customFormat="false" ht="15" hidden="false" customHeight="false" outlineLevel="0" collapsed="false">
      <c r="A590" s="51"/>
      <c r="B590" s="54"/>
      <c r="C590" s="20"/>
      <c r="D590" s="20"/>
      <c r="E590" s="20"/>
      <c r="F590" s="20"/>
      <c r="G590" s="20"/>
      <c r="H590" s="11" t="str">
        <f aca="false">IF(B590="","",IFERROR(INDEX(Program!$H$2:$H$75,MATCH(B590,Program!$D$2:$D$75,0)),""))</f>
        <v/>
      </c>
      <c r="I590" s="11" t="str">
        <f aca="false">IF(B590="","",IFERROR(INDEX(Program!$I$2:$I$75,MATCH(B590,Program!$D$2:$D$75,0)),""))</f>
        <v/>
      </c>
      <c r="J590" s="11" t="str">
        <f aca="false">IF(COUNT(D590:G590)=0,"",COUNT(D590:G590))</f>
        <v/>
      </c>
      <c r="K590" s="12" t="str">
        <f aca="false">IF(OR(J590="",I590=""),"",IF(MIN(D590:G590)&gt;=I590,"Add load (smallest step)",IF(MAX(D590:G590)&lt;H590,"Below range: if again, drop 5–10%","Same load, add reps")))</f>
        <v/>
      </c>
      <c r="L590" s="20"/>
      <c r="M590" s="11" t="str">
        <f aca="false">IF(OR(L590="",C590="",H590="",C590=0),"",MAX(H590,ROUNDUP(30*((L590/C590)*(1+H590/30)-1),0)))</f>
        <v/>
      </c>
    </row>
    <row r="591" customFormat="false" ht="15" hidden="false" customHeight="false" outlineLevel="0" collapsed="false">
      <c r="A591" s="51"/>
      <c r="B591" s="54"/>
      <c r="C591" s="20"/>
      <c r="D591" s="20"/>
      <c r="E591" s="20"/>
      <c r="F591" s="20"/>
      <c r="G591" s="20"/>
      <c r="H591" s="11" t="str">
        <f aca="false">IF(B591="","",IFERROR(INDEX(Program!$H$2:$H$75,MATCH(B591,Program!$D$2:$D$75,0)),""))</f>
        <v/>
      </c>
      <c r="I591" s="11" t="str">
        <f aca="false">IF(B591="","",IFERROR(INDEX(Program!$I$2:$I$75,MATCH(B591,Program!$D$2:$D$75,0)),""))</f>
        <v/>
      </c>
      <c r="J591" s="11" t="str">
        <f aca="false">IF(COUNT(D591:G591)=0,"",COUNT(D591:G591))</f>
        <v/>
      </c>
      <c r="K591" s="12" t="str">
        <f aca="false">IF(OR(J591="",I591=""),"",IF(MIN(D591:G591)&gt;=I591,"Add load (smallest step)",IF(MAX(D591:G591)&lt;H591,"Below range: if again, drop 5–10%","Same load, add reps")))</f>
        <v/>
      </c>
      <c r="L591" s="20"/>
      <c r="M591" s="11" t="str">
        <f aca="false">IF(OR(L591="",C591="",H591="",C591=0),"",MAX(H591,ROUNDUP(30*((L591/C591)*(1+H591/30)-1),0)))</f>
        <v/>
      </c>
    </row>
    <row r="592" customFormat="false" ht="15" hidden="false" customHeight="false" outlineLevel="0" collapsed="false">
      <c r="A592" s="51"/>
      <c r="B592" s="54"/>
      <c r="C592" s="20"/>
      <c r="D592" s="20"/>
      <c r="E592" s="20"/>
      <c r="F592" s="20"/>
      <c r="G592" s="20"/>
      <c r="H592" s="11" t="str">
        <f aca="false">IF(B592="","",IFERROR(INDEX(Program!$H$2:$H$75,MATCH(B592,Program!$D$2:$D$75,0)),""))</f>
        <v/>
      </c>
      <c r="I592" s="11" t="str">
        <f aca="false">IF(B592="","",IFERROR(INDEX(Program!$I$2:$I$75,MATCH(B592,Program!$D$2:$D$75,0)),""))</f>
        <v/>
      </c>
      <c r="J592" s="11" t="str">
        <f aca="false">IF(COUNT(D592:G592)=0,"",COUNT(D592:G592))</f>
        <v/>
      </c>
      <c r="K592" s="12" t="str">
        <f aca="false">IF(OR(J592="",I592=""),"",IF(MIN(D592:G592)&gt;=I592,"Add load (smallest step)",IF(MAX(D592:G592)&lt;H592,"Below range: if again, drop 5–10%","Same load, add reps")))</f>
        <v/>
      </c>
      <c r="L592" s="20"/>
      <c r="M592" s="11" t="str">
        <f aca="false">IF(OR(L592="",C592="",H592="",C592=0),"",MAX(H592,ROUNDUP(30*((L592/C592)*(1+H592/30)-1),0)))</f>
        <v/>
      </c>
    </row>
    <row r="593" customFormat="false" ht="15" hidden="false" customHeight="false" outlineLevel="0" collapsed="false">
      <c r="A593" s="51"/>
      <c r="B593" s="54"/>
      <c r="C593" s="20"/>
      <c r="D593" s="20"/>
      <c r="E593" s="20"/>
      <c r="F593" s="20"/>
      <c r="G593" s="20"/>
      <c r="H593" s="11" t="str">
        <f aca="false">IF(B593="","",IFERROR(INDEX(Program!$H$2:$H$75,MATCH(B593,Program!$D$2:$D$75,0)),""))</f>
        <v/>
      </c>
      <c r="I593" s="11" t="str">
        <f aca="false">IF(B593="","",IFERROR(INDEX(Program!$I$2:$I$75,MATCH(B593,Program!$D$2:$D$75,0)),""))</f>
        <v/>
      </c>
      <c r="J593" s="11" t="str">
        <f aca="false">IF(COUNT(D593:G593)=0,"",COUNT(D593:G593))</f>
        <v/>
      </c>
      <c r="K593" s="12" t="str">
        <f aca="false">IF(OR(J593="",I593=""),"",IF(MIN(D593:G593)&gt;=I593,"Add load (smallest step)",IF(MAX(D593:G593)&lt;H593,"Below range: if again, drop 5–10%","Same load, add reps")))</f>
        <v/>
      </c>
      <c r="L593" s="20"/>
      <c r="M593" s="11" t="str">
        <f aca="false">IF(OR(L593="",C593="",H593="",C593=0),"",MAX(H593,ROUNDUP(30*((L593/C593)*(1+H593/30)-1),0)))</f>
        <v/>
      </c>
    </row>
    <row r="594" customFormat="false" ht="15" hidden="false" customHeight="false" outlineLevel="0" collapsed="false">
      <c r="A594" s="51"/>
      <c r="B594" s="54"/>
      <c r="C594" s="20"/>
      <c r="D594" s="20"/>
      <c r="E594" s="20"/>
      <c r="F594" s="20"/>
      <c r="G594" s="20"/>
      <c r="H594" s="11" t="str">
        <f aca="false">IF(B594="","",IFERROR(INDEX(Program!$H$2:$H$75,MATCH(B594,Program!$D$2:$D$75,0)),""))</f>
        <v/>
      </c>
      <c r="I594" s="11" t="str">
        <f aca="false">IF(B594="","",IFERROR(INDEX(Program!$I$2:$I$75,MATCH(B594,Program!$D$2:$D$75,0)),""))</f>
        <v/>
      </c>
      <c r="J594" s="11" t="str">
        <f aca="false">IF(COUNT(D594:G594)=0,"",COUNT(D594:G594))</f>
        <v/>
      </c>
      <c r="K594" s="12" t="str">
        <f aca="false">IF(OR(J594="",I594=""),"",IF(MIN(D594:G594)&gt;=I594,"Add load (smallest step)",IF(MAX(D594:G594)&lt;H594,"Below range: if again, drop 5–10%","Same load, add reps")))</f>
        <v/>
      </c>
      <c r="L594" s="20"/>
      <c r="M594" s="11" t="str">
        <f aca="false">IF(OR(L594="",C594="",H594="",C594=0),"",MAX(H594,ROUNDUP(30*((L594/C594)*(1+H594/30)-1),0)))</f>
        <v/>
      </c>
    </row>
    <row r="595" customFormat="false" ht="15" hidden="false" customHeight="false" outlineLevel="0" collapsed="false">
      <c r="A595" s="51"/>
      <c r="B595" s="54"/>
      <c r="C595" s="20"/>
      <c r="D595" s="20"/>
      <c r="E595" s="20"/>
      <c r="F595" s="20"/>
      <c r="G595" s="20"/>
      <c r="H595" s="11" t="str">
        <f aca="false">IF(B595="","",IFERROR(INDEX(Program!$H$2:$H$75,MATCH(B595,Program!$D$2:$D$75,0)),""))</f>
        <v/>
      </c>
      <c r="I595" s="11" t="str">
        <f aca="false">IF(B595="","",IFERROR(INDEX(Program!$I$2:$I$75,MATCH(B595,Program!$D$2:$D$75,0)),""))</f>
        <v/>
      </c>
      <c r="J595" s="11" t="str">
        <f aca="false">IF(COUNT(D595:G595)=0,"",COUNT(D595:G595))</f>
        <v/>
      </c>
      <c r="K595" s="12" t="str">
        <f aca="false">IF(OR(J595="",I595=""),"",IF(MIN(D595:G595)&gt;=I595,"Add load (smallest step)",IF(MAX(D595:G595)&lt;H595,"Below range: if again, drop 5–10%","Same load, add reps")))</f>
        <v/>
      </c>
      <c r="L595" s="20"/>
      <c r="M595" s="11" t="str">
        <f aca="false">IF(OR(L595="",C595="",H595="",C595=0),"",MAX(H595,ROUNDUP(30*((L595/C595)*(1+H595/30)-1),0)))</f>
        <v/>
      </c>
    </row>
    <row r="596" customFormat="false" ht="15" hidden="false" customHeight="false" outlineLevel="0" collapsed="false">
      <c r="A596" s="51"/>
      <c r="B596" s="54"/>
      <c r="C596" s="20"/>
      <c r="D596" s="20"/>
      <c r="E596" s="20"/>
      <c r="F596" s="20"/>
      <c r="G596" s="20"/>
      <c r="H596" s="11" t="str">
        <f aca="false">IF(B596="","",IFERROR(INDEX(Program!$H$2:$H$75,MATCH(B596,Program!$D$2:$D$75,0)),""))</f>
        <v/>
      </c>
      <c r="I596" s="11" t="str">
        <f aca="false">IF(B596="","",IFERROR(INDEX(Program!$I$2:$I$75,MATCH(B596,Program!$D$2:$D$75,0)),""))</f>
        <v/>
      </c>
      <c r="J596" s="11" t="str">
        <f aca="false">IF(COUNT(D596:G596)=0,"",COUNT(D596:G596))</f>
        <v/>
      </c>
      <c r="K596" s="12" t="str">
        <f aca="false">IF(OR(J596="",I596=""),"",IF(MIN(D596:G596)&gt;=I596,"Add load (smallest step)",IF(MAX(D596:G596)&lt;H596,"Below range: if again, drop 5–10%","Same load, add reps")))</f>
        <v/>
      </c>
      <c r="L596" s="20"/>
      <c r="M596" s="11" t="str">
        <f aca="false">IF(OR(L596="",C596="",H596="",C596=0),"",MAX(H596,ROUNDUP(30*((L596/C596)*(1+H596/30)-1),0)))</f>
        <v/>
      </c>
    </row>
    <row r="597" customFormat="false" ht="15" hidden="false" customHeight="false" outlineLevel="0" collapsed="false">
      <c r="A597" s="51"/>
      <c r="B597" s="54"/>
      <c r="C597" s="20"/>
      <c r="D597" s="20"/>
      <c r="E597" s="20"/>
      <c r="F597" s="20"/>
      <c r="G597" s="20"/>
      <c r="H597" s="11" t="str">
        <f aca="false">IF(B597="","",IFERROR(INDEX(Program!$H$2:$H$75,MATCH(B597,Program!$D$2:$D$75,0)),""))</f>
        <v/>
      </c>
      <c r="I597" s="11" t="str">
        <f aca="false">IF(B597="","",IFERROR(INDEX(Program!$I$2:$I$75,MATCH(B597,Program!$D$2:$D$75,0)),""))</f>
        <v/>
      </c>
      <c r="J597" s="11" t="str">
        <f aca="false">IF(COUNT(D597:G597)=0,"",COUNT(D597:G597))</f>
        <v/>
      </c>
      <c r="K597" s="12" t="str">
        <f aca="false">IF(OR(J597="",I597=""),"",IF(MIN(D597:G597)&gt;=I597,"Add load (smallest step)",IF(MAX(D597:G597)&lt;H597,"Below range: if again, drop 5–10%","Same load, add reps")))</f>
        <v/>
      </c>
      <c r="L597" s="20"/>
      <c r="M597" s="11" t="str">
        <f aca="false">IF(OR(L597="",C597="",H597="",C597=0),"",MAX(H597,ROUNDUP(30*((L597/C597)*(1+H597/30)-1),0)))</f>
        <v/>
      </c>
    </row>
    <row r="598" customFormat="false" ht="15" hidden="false" customHeight="false" outlineLevel="0" collapsed="false">
      <c r="A598" s="51"/>
      <c r="B598" s="54"/>
      <c r="C598" s="20"/>
      <c r="D598" s="20"/>
      <c r="E598" s="20"/>
      <c r="F598" s="20"/>
      <c r="G598" s="20"/>
      <c r="H598" s="11" t="str">
        <f aca="false">IF(B598="","",IFERROR(INDEX(Program!$H$2:$H$75,MATCH(B598,Program!$D$2:$D$75,0)),""))</f>
        <v/>
      </c>
      <c r="I598" s="11" t="str">
        <f aca="false">IF(B598="","",IFERROR(INDEX(Program!$I$2:$I$75,MATCH(B598,Program!$D$2:$D$75,0)),""))</f>
        <v/>
      </c>
      <c r="J598" s="11" t="str">
        <f aca="false">IF(COUNT(D598:G598)=0,"",COUNT(D598:G598))</f>
        <v/>
      </c>
      <c r="K598" s="12" t="str">
        <f aca="false">IF(OR(J598="",I598=""),"",IF(MIN(D598:G598)&gt;=I598,"Add load (smallest step)",IF(MAX(D598:G598)&lt;H598,"Below range: if again, drop 5–10%","Same load, add reps")))</f>
        <v/>
      </c>
      <c r="L598" s="20"/>
      <c r="M598" s="11" t="str">
        <f aca="false">IF(OR(L598="",C598="",H598="",C598=0),"",MAX(H598,ROUNDUP(30*((L598/C598)*(1+H598/30)-1),0)))</f>
        <v/>
      </c>
    </row>
    <row r="599" customFormat="false" ht="15" hidden="false" customHeight="false" outlineLevel="0" collapsed="false">
      <c r="A599" s="51"/>
      <c r="B599" s="54"/>
      <c r="C599" s="20"/>
      <c r="D599" s="20"/>
      <c r="E599" s="20"/>
      <c r="F599" s="20"/>
      <c r="G599" s="20"/>
      <c r="H599" s="11" t="str">
        <f aca="false">IF(B599="","",IFERROR(INDEX(Program!$H$2:$H$75,MATCH(B599,Program!$D$2:$D$75,0)),""))</f>
        <v/>
      </c>
      <c r="I599" s="11" t="str">
        <f aca="false">IF(B599="","",IFERROR(INDEX(Program!$I$2:$I$75,MATCH(B599,Program!$D$2:$D$75,0)),""))</f>
        <v/>
      </c>
      <c r="J599" s="11" t="str">
        <f aca="false">IF(COUNT(D599:G599)=0,"",COUNT(D599:G599))</f>
        <v/>
      </c>
      <c r="K599" s="12" t="str">
        <f aca="false">IF(OR(J599="",I599=""),"",IF(MIN(D599:G599)&gt;=I599,"Add load (smallest step)",IF(MAX(D599:G599)&lt;H599,"Below range: if again, drop 5–10%","Same load, add reps")))</f>
        <v/>
      </c>
      <c r="L599" s="20"/>
      <c r="M599" s="11" t="str">
        <f aca="false">IF(OR(L599="",C599="",H599="",C599=0),"",MAX(H599,ROUNDUP(30*((L599/C599)*(1+H599/30)-1),0)))</f>
        <v/>
      </c>
    </row>
    <row r="600" customFormat="false" ht="15" hidden="false" customHeight="false" outlineLevel="0" collapsed="false">
      <c r="A600" s="51"/>
      <c r="B600" s="54"/>
      <c r="C600" s="20"/>
      <c r="D600" s="20"/>
      <c r="E600" s="20"/>
      <c r="F600" s="20"/>
      <c r="G600" s="20"/>
      <c r="H600" s="11" t="str">
        <f aca="false">IF(B600="","",IFERROR(INDEX(Program!$H$2:$H$75,MATCH(B600,Program!$D$2:$D$75,0)),""))</f>
        <v/>
      </c>
      <c r="I600" s="11" t="str">
        <f aca="false">IF(B600="","",IFERROR(INDEX(Program!$I$2:$I$75,MATCH(B600,Program!$D$2:$D$75,0)),""))</f>
        <v/>
      </c>
      <c r="J600" s="11" t="str">
        <f aca="false">IF(COUNT(D600:G600)=0,"",COUNT(D600:G600))</f>
        <v/>
      </c>
      <c r="K600" s="12" t="str">
        <f aca="false">IF(OR(J600="",I600=""),"",IF(MIN(D600:G600)&gt;=I600,"Add load (smallest step)",IF(MAX(D600:G600)&lt;H600,"Below range: if again, drop 5–10%","Same load, add reps")))</f>
        <v/>
      </c>
      <c r="L600" s="20"/>
      <c r="M600" s="11" t="str">
        <f aca="false">IF(OR(L600="",C600="",H600="",C600=0),"",MAX(H600,ROUNDUP(30*((L600/C600)*(1+H600/30)-1),0)))</f>
        <v/>
      </c>
    </row>
    <row r="601" customFormat="false" ht="15" hidden="false" customHeight="false" outlineLevel="0" collapsed="false">
      <c r="A601" s="51"/>
      <c r="B601" s="54"/>
      <c r="C601" s="20"/>
      <c r="D601" s="20"/>
      <c r="E601" s="20"/>
      <c r="F601" s="20"/>
      <c r="G601" s="20"/>
      <c r="H601" s="11" t="str">
        <f aca="false">IF(B601="","",IFERROR(INDEX(Program!$H$2:$H$75,MATCH(B601,Program!$D$2:$D$75,0)),""))</f>
        <v/>
      </c>
      <c r="I601" s="11" t="str">
        <f aca="false">IF(B601="","",IFERROR(INDEX(Program!$I$2:$I$75,MATCH(B601,Program!$D$2:$D$75,0)),""))</f>
        <v/>
      </c>
      <c r="J601" s="11" t="str">
        <f aca="false">IF(COUNT(D601:G601)=0,"",COUNT(D601:G601))</f>
        <v/>
      </c>
      <c r="K601" s="12" t="str">
        <f aca="false">IF(OR(J601="",I601=""),"",IF(MIN(D601:G601)&gt;=I601,"Add load (smallest step)",IF(MAX(D601:G601)&lt;H601,"Below range: if again, drop 5–10%","Same load, add reps")))</f>
        <v/>
      </c>
      <c r="L601" s="20"/>
      <c r="M601" s="11" t="str">
        <f aca="false">IF(OR(L601="",C601="",H601="",C601=0),"",MAX(H601,ROUNDUP(30*((L601/C601)*(1+H601/30)-1),0)))</f>
        <v/>
      </c>
    </row>
    <row r="602" customFormat="false" ht="15" hidden="false" customHeight="false" outlineLevel="0" collapsed="false">
      <c r="A602" s="51"/>
      <c r="B602" s="54"/>
      <c r="C602" s="20"/>
      <c r="D602" s="20"/>
      <c r="E602" s="20"/>
      <c r="F602" s="20"/>
      <c r="G602" s="20"/>
      <c r="H602" s="11" t="str">
        <f aca="false">IF(B602="","",IFERROR(INDEX(Program!$H$2:$H$75,MATCH(B602,Program!$D$2:$D$75,0)),""))</f>
        <v/>
      </c>
      <c r="I602" s="11" t="str">
        <f aca="false">IF(B602="","",IFERROR(INDEX(Program!$I$2:$I$75,MATCH(B602,Program!$D$2:$D$75,0)),""))</f>
        <v/>
      </c>
      <c r="J602" s="11" t="str">
        <f aca="false">IF(COUNT(D602:G602)=0,"",COUNT(D602:G602))</f>
        <v/>
      </c>
      <c r="K602" s="12" t="str">
        <f aca="false">IF(OR(J602="",I602=""),"",IF(MIN(D602:G602)&gt;=I602,"Add load (smallest step)",IF(MAX(D602:G602)&lt;H602,"Below range: if again, drop 5–10%","Same load, add reps")))</f>
        <v/>
      </c>
      <c r="L602" s="20"/>
      <c r="M602" s="11" t="str">
        <f aca="false">IF(OR(L602="",C602="",H602="",C602=0),"",MAX(H602,ROUNDUP(30*((L602/C602)*(1+H602/30)-1),0)))</f>
        <v/>
      </c>
    </row>
    <row r="603" customFormat="false" ht="15" hidden="false" customHeight="false" outlineLevel="0" collapsed="false">
      <c r="A603" s="51"/>
      <c r="B603" s="54"/>
      <c r="C603" s="20"/>
      <c r="D603" s="20"/>
      <c r="E603" s="20"/>
      <c r="F603" s="20"/>
      <c r="G603" s="20"/>
      <c r="H603" s="11" t="str">
        <f aca="false">IF(B603="","",IFERROR(INDEX(Program!$H$2:$H$75,MATCH(B603,Program!$D$2:$D$75,0)),""))</f>
        <v/>
      </c>
      <c r="I603" s="11" t="str">
        <f aca="false">IF(B603="","",IFERROR(INDEX(Program!$I$2:$I$75,MATCH(B603,Program!$D$2:$D$75,0)),""))</f>
        <v/>
      </c>
      <c r="J603" s="11" t="str">
        <f aca="false">IF(COUNT(D603:G603)=0,"",COUNT(D603:G603))</f>
        <v/>
      </c>
      <c r="K603" s="12" t="str">
        <f aca="false">IF(OR(J603="",I603=""),"",IF(MIN(D603:G603)&gt;=I603,"Add load (smallest step)",IF(MAX(D603:G603)&lt;H603,"Below range: if again, drop 5–10%","Same load, add reps")))</f>
        <v/>
      </c>
      <c r="L603" s="20"/>
      <c r="M603" s="11" t="str">
        <f aca="false">IF(OR(L603="",C603="",H603="",C603=0),"",MAX(H603,ROUNDUP(30*((L603/C603)*(1+H603/30)-1),0)))</f>
        <v/>
      </c>
    </row>
    <row r="604" customFormat="false" ht="15" hidden="false" customHeight="false" outlineLevel="0" collapsed="false">
      <c r="A604" s="51"/>
      <c r="B604" s="54"/>
      <c r="C604" s="20"/>
      <c r="D604" s="20"/>
      <c r="E604" s="20"/>
      <c r="F604" s="20"/>
      <c r="G604" s="20"/>
      <c r="H604" s="11" t="str">
        <f aca="false">IF(B604="","",IFERROR(INDEX(Program!$H$2:$H$75,MATCH(B604,Program!$D$2:$D$75,0)),""))</f>
        <v/>
      </c>
      <c r="I604" s="11" t="str">
        <f aca="false">IF(B604="","",IFERROR(INDEX(Program!$I$2:$I$75,MATCH(B604,Program!$D$2:$D$75,0)),""))</f>
        <v/>
      </c>
      <c r="J604" s="11" t="str">
        <f aca="false">IF(COUNT(D604:G604)=0,"",COUNT(D604:G604))</f>
        <v/>
      </c>
      <c r="K604" s="12" t="str">
        <f aca="false">IF(OR(J604="",I604=""),"",IF(MIN(D604:G604)&gt;=I604,"Add load (smallest step)",IF(MAX(D604:G604)&lt;H604,"Below range: if again, drop 5–10%","Same load, add reps")))</f>
        <v/>
      </c>
      <c r="L604" s="20"/>
      <c r="M604" s="11" t="str">
        <f aca="false">IF(OR(L604="",C604="",H604="",C604=0),"",MAX(H604,ROUNDUP(30*((L604/C604)*(1+H604/30)-1),0)))</f>
        <v/>
      </c>
    </row>
    <row r="605" customFormat="false" ht="15" hidden="false" customHeight="false" outlineLevel="0" collapsed="false">
      <c r="A605" s="51"/>
      <c r="B605" s="54"/>
      <c r="C605" s="20"/>
      <c r="D605" s="20"/>
      <c r="E605" s="20"/>
      <c r="F605" s="20"/>
      <c r="G605" s="20"/>
      <c r="H605" s="11" t="str">
        <f aca="false">IF(B605="","",IFERROR(INDEX(Program!$H$2:$H$75,MATCH(B605,Program!$D$2:$D$75,0)),""))</f>
        <v/>
      </c>
      <c r="I605" s="11" t="str">
        <f aca="false">IF(B605="","",IFERROR(INDEX(Program!$I$2:$I$75,MATCH(B605,Program!$D$2:$D$75,0)),""))</f>
        <v/>
      </c>
      <c r="J605" s="11" t="str">
        <f aca="false">IF(COUNT(D605:G605)=0,"",COUNT(D605:G605))</f>
        <v/>
      </c>
      <c r="K605" s="12" t="str">
        <f aca="false">IF(OR(J605="",I605=""),"",IF(MIN(D605:G605)&gt;=I605,"Add load (smallest step)",IF(MAX(D605:G605)&lt;H605,"Below range: if again, drop 5–10%","Same load, add reps")))</f>
        <v/>
      </c>
      <c r="L605" s="20"/>
      <c r="M605" s="11" t="str">
        <f aca="false">IF(OR(L605="",C605="",H605="",C605=0),"",MAX(H605,ROUNDUP(30*((L605/C605)*(1+H605/30)-1),0)))</f>
        <v/>
      </c>
    </row>
    <row r="606" customFormat="false" ht="15" hidden="false" customHeight="false" outlineLevel="0" collapsed="false">
      <c r="A606" s="51"/>
      <c r="B606" s="54"/>
      <c r="C606" s="20"/>
      <c r="D606" s="20"/>
      <c r="E606" s="20"/>
      <c r="F606" s="20"/>
      <c r="G606" s="20"/>
      <c r="H606" s="11" t="str">
        <f aca="false">IF(B606="","",IFERROR(INDEX(Program!$H$2:$H$75,MATCH(B606,Program!$D$2:$D$75,0)),""))</f>
        <v/>
      </c>
      <c r="I606" s="11" t="str">
        <f aca="false">IF(B606="","",IFERROR(INDEX(Program!$I$2:$I$75,MATCH(B606,Program!$D$2:$D$75,0)),""))</f>
        <v/>
      </c>
      <c r="J606" s="11" t="str">
        <f aca="false">IF(COUNT(D606:G606)=0,"",COUNT(D606:G606))</f>
        <v/>
      </c>
      <c r="K606" s="12" t="str">
        <f aca="false">IF(OR(J606="",I606=""),"",IF(MIN(D606:G606)&gt;=I606,"Add load (smallest step)",IF(MAX(D606:G606)&lt;H606,"Below range: if again, drop 5–10%","Same load, add reps")))</f>
        <v/>
      </c>
      <c r="L606" s="20"/>
      <c r="M606" s="11" t="str">
        <f aca="false">IF(OR(L606="",C606="",H606="",C606=0),"",MAX(H606,ROUNDUP(30*((L606/C606)*(1+H606/30)-1),0)))</f>
        <v/>
      </c>
    </row>
    <row r="607" customFormat="false" ht="15" hidden="false" customHeight="false" outlineLevel="0" collapsed="false">
      <c r="A607" s="51"/>
      <c r="B607" s="54"/>
      <c r="C607" s="20"/>
      <c r="D607" s="20"/>
      <c r="E607" s="20"/>
      <c r="F607" s="20"/>
      <c r="G607" s="20"/>
      <c r="H607" s="11" t="str">
        <f aca="false">IF(B607="","",IFERROR(INDEX(Program!$H$2:$H$75,MATCH(B607,Program!$D$2:$D$75,0)),""))</f>
        <v/>
      </c>
      <c r="I607" s="11" t="str">
        <f aca="false">IF(B607="","",IFERROR(INDEX(Program!$I$2:$I$75,MATCH(B607,Program!$D$2:$D$75,0)),""))</f>
        <v/>
      </c>
      <c r="J607" s="11" t="str">
        <f aca="false">IF(COUNT(D607:G607)=0,"",COUNT(D607:G607))</f>
        <v/>
      </c>
      <c r="K607" s="12" t="str">
        <f aca="false">IF(OR(J607="",I607=""),"",IF(MIN(D607:G607)&gt;=I607,"Add load (smallest step)",IF(MAX(D607:G607)&lt;H607,"Below range: if again, drop 5–10%","Same load, add reps")))</f>
        <v/>
      </c>
      <c r="L607" s="20"/>
      <c r="M607" s="11" t="str">
        <f aca="false">IF(OR(L607="",C607="",H607="",C607=0),"",MAX(H607,ROUNDUP(30*((L607/C607)*(1+H607/30)-1),0)))</f>
        <v/>
      </c>
    </row>
    <row r="608" customFormat="false" ht="15" hidden="false" customHeight="false" outlineLevel="0" collapsed="false">
      <c r="A608" s="51"/>
      <c r="B608" s="54"/>
      <c r="C608" s="20"/>
      <c r="D608" s="20"/>
      <c r="E608" s="20"/>
      <c r="F608" s="20"/>
      <c r="G608" s="20"/>
      <c r="H608" s="11" t="str">
        <f aca="false">IF(B608="","",IFERROR(INDEX(Program!$H$2:$H$75,MATCH(B608,Program!$D$2:$D$75,0)),""))</f>
        <v/>
      </c>
      <c r="I608" s="11" t="str">
        <f aca="false">IF(B608="","",IFERROR(INDEX(Program!$I$2:$I$75,MATCH(B608,Program!$D$2:$D$75,0)),""))</f>
        <v/>
      </c>
      <c r="J608" s="11" t="str">
        <f aca="false">IF(COUNT(D608:G608)=0,"",COUNT(D608:G608))</f>
        <v/>
      </c>
      <c r="K608" s="12" t="str">
        <f aca="false">IF(OR(J608="",I608=""),"",IF(MIN(D608:G608)&gt;=I608,"Add load (smallest step)",IF(MAX(D608:G608)&lt;H608,"Below range: if again, drop 5–10%","Same load, add reps")))</f>
        <v/>
      </c>
      <c r="L608" s="20"/>
      <c r="M608" s="11" t="str">
        <f aca="false">IF(OR(L608="",C608="",H608="",C608=0),"",MAX(H608,ROUNDUP(30*((L608/C608)*(1+H608/30)-1),0)))</f>
        <v/>
      </c>
    </row>
    <row r="609" customFormat="false" ht="15" hidden="false" customHeight="false" outlineLevel="0" collapsed="false">
      <c r="A609" s="51"/>
      <c r="B609" s="54"/>
      <c r="C609" s="20"/>
      <c r="D609" s="20"/>
      <c r="E609" s="20"/>
      <c r="F609" s="20"/>
      <c r="G609" s="20"/>
      <c r="H609" s="11" t="str">
        <f aca="false">IF(B609="","",IFERROR(INDEX(Program!$H$2:$H$75,MATCH(B609,Program!$D$2:$D$75,0)),""))</f>
        <v/>
      </c>
      <c r="I609" s="11" t="str">
        <f aca="false">IF(B609="","",IFERROR(INDEX(Program!$I$2:$I$75,MATCH(B609,Program!$D$2:$D$75,0)),""))</f>
        <v/>
      </c>
      <c r="J609" s="11" t="str">
        <f aca="false">IF(COUNT(D609:G609)=0,"",COUNT(D609:G609))</f>
        <v/>
      </c>
      <c r="K609" s="12" t="str">
        <f aca="false">IF(OR(J609="",I609=""),"",IF(MIN(D609:G609)&gt;=I609,"Add load (smallest step)",IF(MAX(D609:G609)&lt;H609,"Below range: if again, drop 5–10%","Same load, add reps")))</f>
        <v/>
      </c>
      <c r="L609" s="20"/>
      <c r="M609" s="11" t="str">
        <f aca="false">IF(OR(L609="",C609="",H609="",C609=0),"",MAX(H609,ROUNDUP(30*((L609/C609)*(1+H609/30)-1),0)))</f>
        <v/>
      </c>
    </row>
    <row r="610" customFormat="false" ht="15" hidden="false" customHeight="false" outlineLevel="0" collapsed="false">
      <c r="A610" s="51"/>
      <c r="B610" s="54"/>
      <c r="C610" s="20"/>
      <c r="D610" s="20"/>
      <c r="E610" s="20"/>
      <c r="F610" s="20"/>
      <c r="G610" s="20"/>
      <c r="H610" s="11" t="str">
        <f aca="false">IF(B610="","",IFERROR(INDEX(Program!$H$2:$H$75,MATCH(B610,Program!$D$2:$D$75,0)),""))</f>
        <v/>
      </c>
      <c r="I610" s="11" t="str">
        <f aca="false">IF(B610="","",IFERROR(INDEX(Program!$I$2:$I$75,MATCH(B610,Program!$D$2:$D$75,0)),""))</f>
        <v/>
      </c>
      <c r="J610" s="11" t="str">
        <f aca="false">IF(COUNT(D610:G610)=0,"",COUNT(D610:G610))</f>
        <v/>
      </c>
      <c r="K610" s="12" t="str">
        <f aca="false">IF(OR(J610="",I610=""),"",IF(MIN(D610:G610)&gt;=I610,"Add load (smallest step)",IF(MAX(D610:G610)&lt;H610,"Below range: if again, drop 5–10%","Same load, add reps")))</f>
        <v/>
      </c>
      <c r="L610" s="20"/>
      <c r="M610" s="11" t="str">
        <f aca="false">IF(OR(L610="",C610="",H610="",C610=0),"",MAX(H610,ROUNDUP(30*((L610/C610)*(1+H610/30)-1),0)))</f>
        <v/>
      </c>
    </row>
    <row r="611" customFormat="false" ht="15" hidden="false" customHeight="false" outlineLevel="0" collapsed="false">
      <c r="A611" s="51"/>
      <c r="B611" s="54"/>
      <c r="C611" s="20"/>
      <c r="D611" s="20"/>
      <c r="E611" s="20"/>
      <c r="F611" s="20"/>
      <c r="G611" s="20"/>
      <c r="H611" s="11" t="str">
        <f aca="false">IF(B611="","",IFERROR(INDEX(Program!$H$2:$H$75,MATCH(B611,Program!$D$2:$D$75,0)),""))</f>
        <v/>
      </c>
      <c r="I611" s="11" t="str">
        <f aca="false">IF(B611="","",IFERROR(INDEX(Program!$I$2:$I$75,MATCH(B611,Program!$D$2:$D$75,0)),""))</f>
        <v/>
      </c>
      <c r="J611" s="11" t="str">
        <f aca="false">IF(COUNT(D611:G611)=0,"",COUNT(D611:G611))</f>
        <v/>
      </c>
      <c r="K611" s="12" t="str">
        <f aca="false">IF(OR(J611="",I611=""),"",IF(MIN(D611:G611)&gt;=I611,"Add load (smallest step)",IF(MAX(D611:G611)&lt;H611,"Below range: if again, drop 5–10%","Same load, add reps")))</f>
        <v/>
      </c>
      <c r="L611" s="20"/>
      <c r="M611" s="11" t="str">
        <f aca="false">IF(OR(L611="",C611="",H611="",C611=0),"",MAX(H611,ROUNDUP(30*((L611/C611)*(1+H611/30)-1),0)))</f>
        <v/>
      </c>
    </row>
    <row r="612" customFormat="false" ht="15" hidden="false" customHeight="false" outlineLevel="0" collapsed="false">
      <c r="A612" s="51"/>
      <c r="B612" s="54"/>
      <c r="C612" s="20"/>
      <c r="D612" s="20"/>
      <c r="E612" s="20"/>
      <c r="F612" s="20"/>
      <c r="G612" s="20"/>
      <c r="H612" s="11" t="str">
        <f aca="false">IF(B612="","",IFERROR(INDEX(Program!$H$2:$H$75,MATCH(B612,Program!$D$2:$D$75,0)),""))</f>
        <v/>
      </c>
      <c r="I612" s="11" t="str">
        <f aca="false">IF(B612="","",IFERROR(INDEX(Program!$I$2:$I$75,MATCH(B612,Program!$D$2:$D$75,0)),""))</f>
        <v/>
      </c>
      <c r="J612" s="11" t="str">
        <f aca="false">IF(COUNT(D612:G612)=0,"",COUNT(D612:G612))</f>
        <v/>
      </c>
      <c r="K612" s="12" t="str">
        <f aca="false">IF(OR(J612="",I612=""),"",IF(MIN(D612:G612)&gt;=I612,"Add load (smallest step)",IF(MAX(D612:G612)&lt;H612,"Below range: if again, drop 5–10%","Same load, add reps")))</f>
        <v/>
      </c>
      <c r="L612" s="20"/>
      <c r="M612" s="11" t="str">
        <f aca="false">IF(OR(L612="",C612="",H612="",C612=0),"",MAX(H612,ROUNDUP(30*((L612/C612)*(1+H612/30)-1),0)))</f>
        <v/>
      </c>
    </row>
    <row r="613" customFormat="false" ht="15" hidden="false" customHeight="false" outlineLevel="0" collapsed="false">
      <c r="A613" s="51"/>
      <c r="B613" s="54"/>
      <c r="C613" s="20"/>
      <c r="D613" s="20"/>
      <c r="E613" s="20"/>
      <c r="F613" s="20"/>
      <c r="G613" s="20"/>
      <c r="H613" s="11" t="str">
        <f aca="false">IF(B613="","",IFERROR(INDEX(Program!$H$2:$H$75,MATCH(B613,Program!$D$2:$D$75,0)),""))</f>
        <v/>
      </c>
      <c r="I613" s="11" t="str">
        <f aca="false">IF(B613="","",IFERROR(INDEX(Program!$I$2:$I$75,MATCH(B613,Program!$D$2:$D$75,0)),""))</f>
        <v/>
      </c>
      <c r="J613" s="11" t="str">
        <f aca="false">IF(COUNT(D613:G613)=0,"",COUNT(D613:G613))</f>
        <v/>
      </c>
      <c r="K613" s="12" t="str">
        <f aca="false">IF(OR(J613="",I613=""),"",IF(MIN(D613:G613)&gt;=I613,"Add load (smallest step)",IF(MAX(D613:G613)&lt;H613,"Below range: if again, drop 5–10%","Same load, add reps")))</f>
        <v/>
      </c>
      <c r="L613" s="20"/>
      <c r="M613" s="11" t="str">
        <f aca="false">IF(OR(L613="",C613="",H613="",C613=0),"",MAX(H613,ROUNDUP(30*((L613/C613)*(1+H613/30)-1),0)))</f>
        <v/>
      </c>
    </row>
    <row r="614" customFormat="false" ht="15" hidden="false" customHeight="false" outlineLevel="0" collapsed="false">
      <c r="A614" s="51"/>
      <c r="B614" s="54"/>
      <c r="C614" s="20"/>
      <c r="D614" s="20"/>
      <c r="E614" s="20"/>
      <c r="F614" s="20"/>
      <c r="G614" s="20"/>
      <c r="H614" s="11" t="str">
        <f aca="false">IF(B614="","",IFERROR(INDEX(Program!$H$2:$H$75,MATCH(B614,Program!$D$2:$D$75,0)),""))</f>
        <v/>
      </c>
      <c r="I614" s="11" t="str">
        <f aca="false">IF(B614="","",IFERROR(INDEX(Program!$I$2:$I$75,MATCH(B614,Program!$D$2:$D$75,0)),""))</f>
        <v/>
      </c>
      <c r="J614" s="11" t="str">
        <f aca="false">IF(COUNT(D614:G614)=0,"",COUNT(D614:G614))</f>
        <v/>
      </c>
      <c r="K614" s="12" t="str">
        <f aca="false">IF(OR(J614="",I614=""),"",IF(MIN(D614:G614)&gt;=I614,"Add load (smallest step)",IF(MAX(D614:G614)&lt;H614,"Below range: if again, drop 5–10%","Same load, add reps")))</f>
        <v/>
      </c>
      <c r="L614" s="20"/>
      <c r="M614" s="11" t="str">
        <f aca="false">IF(OR(L614="",C614="",H614="",C614=0),"",MAX(H614,ROUNDUP(30*((L614/C614)*(1+H614/30)-1),0)))</f>
        <v/>
      </c>
    </row>
    <row r="615" customFormat="false" ht="15" hidden="false" customHeight="false" outlineLevel="0" collapsed="false">
      <c r="A615" s="51"/>
      <c r="B615" s="54"/>
      <c r="C615" s="20"/>
      <c r="D615" s="20"/>
      <c r="E615" s="20"/>
      <c r="F615" s="20"/>
      <c r="G615" s="20"/>
      <c r="H615" s="11" t="str">
        <f aca="false">IF(B615="","",IFERROR(INDEX(Program!$H$2:$H$75,MATCH(B615,Program!$D$2:$D$75,0)),""))</f>
        <v/>
      </c>
      <c r="I615" s="11" t="str">
        <f aca="false">IF(B615="","",IFERROR(INDEX(Program!$I$2:$I$75,MATCH(B615,Program!$D$2:$D$75,0)),""))</f>
        <v/>
      </c>
      <c r="J615" s="11" t="str">
        <f aca="false">IF(COUNT(D615:G615)=0,"",COUNT(D615:G615))</f>
        <v/>
      </c>
      <c r="K615" s="12" t="str">
        <f aca="false">IF(OR(J615="",I615=""),"",IF(MIN(D615:G615)&gt;=I615,"Add load (smallest step)",IF(MAX(D615:G615)&lt;H615,"Below range: if again, drop 5–10%","Same load, add reps")))</f>
        <v/>
      </c>
      <c r="L615" s="20"/>
      <c r="M615" s="11" t="str">
        <f aca="false">IF(OR(L615="",C615="",H615="",C615=0),"",MAX(H615,ROUNDUP(30*((L615/C615)*(1+H615/30)-1),0)))</f>
        <v/>
      </c>
    </row>
    <row r="616" customFormat="false" ht="15" hidden="false" customHeight="false" outlineLevel="0" collapsed="false">
      <c r="A616" s="51"/>
      <c r="B616" s="54"/>
      <c r="C616" s="20"/>
      <c r="D616" s="20"/>
      <c r="E616" s="20"/>
      <c r="F616" s="20"/>
      <c r="G616" s="20"/>
      <c r="H616" s="11" t="str">
        <f aca="false">IF(B616="","",IFERROR(INDEX(Program!$H$2:$H$75,MATCH(B616,Program!$D$2:$D$75,0)),""))</f>
        <v/>
      </c>
      <c r="I616" s="11" t="str">
        <f aca="false">IF(B616="","",IFERROR(INDEX(Program!$I$2:$I$75,MATCH(B616,Program!$D$2:$D$75,0)),""))</f>
        <v/>
      </c>
      <c r="J616" s="11" t="str">
        <f aca="false">IF(COUNT(D616:G616)=0,"",COUNT(D616:G616))</f>
        <v/>
      </c>
      <c r="K616" s="12" t="str">
        <f aca="false">IF(OR(J616="",I616=""),"",IF(MIN(D616:G616)&gt;=I616,"Add load (smallest step)",IF(MAX(D616:G616)&lt;H616,"Below range: if again, drop 5–10%","Same load, add reps")))</f>
        <v/>
      </c>
      <c r="L616" s="20"/>
      <c r="M616" s="11" t="str">
        <f aca="false">IF(OR(L616="",C616="",H616="",C616=0),"",MAX(H616,ROUNDUP(30*((L616/C616)*(1+H616/30)-1),0)))</f>
        <v/>
      </c>
    </row>
    <row r="617" customFormat="false" ht="15" hidden="false" customHeight="false" outlineLevel="0" collapsed="false">
      <c r="A617" s="51"/>
      <c r="B617" s="54"/>
      <c r="C617" s="20"/>
      <c r="D617" s="20"/>
      <c r="E617" s="20"/>
      <c r="F617" s="20"/>
      <c r="G617" s="20"/>
      <c r="H617" s="11" t="str">
        <f aca="false">IF(B617="","",IFERROR(INDEX(Program!$H$2:$H$75,MATCH(B617,Program!$D$2:$D$75,0)),""))</f>
        <v/>
      </c>
      <c r="I617" s="11" t="str">
        <f aca="false">IF(B617="","",IFERROR(INDEX(Program!$I$2:$I$75,MATCH(B617,Program!$D$2:$D$75,0)),""))</f>
        <v/>
      </c>
      <c r="J617" s="11" t="str">
        <f aca="false">IF(COUNT(D617:G617)=0,"",COUNT(D617:G617))</f>
        <v/>
      </c>
      <c r="K617" s="12" t="str">
        <f aca="false">IF(OR(J617="",I617=""),"",IF(MIN(D617:G617)&gt;=I617,"Add load (smallest step)",IF(MAX(D617:G617)&lt;H617,"Below range: if again, drop 5–10%","Same load, add reps")))</f>
        <v/>
      </c>
      <c r="L617" s="20"/>
      <c r="M617" s="11" t="str">
        <f aca="false">IF(OR(L617="",C617="",H617="",C617=0),"",MAX(H617,ROUNDUP(30*((L617/C617)*(1+H617/30)-1),0)))</f>
        <v/>
      </c>
    </row>
    <row r="618" customFormat="false" ht="15" hidden="false" customHeight="false" outlineLevel="0" collapsed="false">
      <c r="A618" s="51"/>
      <c r="B618" s="54"/>
      <c r="C618" s="20"/>
      <c r="D618" s="20"/>
      <c r="E618" s="20"/>
      <c r="F618" s="20"/>
      <c r="G618" s="20"/>
      <c r="H618" s="11" t="str">
        <f aca="false">IF(B618="","",IFERROR(INDEX(Program!$H$2:$H$75,MATCH(B618,Program!$D$2:$D$75,0)),""))</f>
        <v/>
      </c>
      <c r="I618" s="11" t="str">
        <f aca="false">IF(B618="","",IFERROR(INDEX(Program!$I$2:$I$75,MATCH(B618,Program!$D$2:$D$75,0)),""))</f>
        <v/>
      </c>
      <c r="J618" s="11" t="str">
        <f aca="false">IF(COUNT(D618:G618)=0,"",COUNT(D618:G618))</f>
        <v/>
      </c>
      <c r="K618" s="12" t="str">
        <f aca="false">IF(OR(J618="",I618=""),"",IF(MIN(D618:G618)&gt;=I618,"Add load (smallest step)",IF(MAX(D618:G618)&lt;H618,"Below range: if again, drop 5–10%","Same load, add reps")))</f>
        <v/>
      </c>
      <c r="L618" s="20"/>
      <c r="M618" s="11" t="str">
        <f aca="false">IF(OR(L618="",C618="",H618="",C618=0),"",MAX(H618,ROUNDUP(30*((L618/C618)*(1+H618/30)-1),0)))</f>
        <v/>
      </c>
    </row>
    <row r="619" customFormat="false" ht="15" hidden="false" customHeight="false" outlineLevel="0" collapsed="false">
      <c r="A619" s="51"/>
      <c r="B619" s="54"/>
      <c r="C619" s="20"/>
      <c r="D619" s="20"/>
      <c r="E619" s="20"/>
      <c r="F619" s="20"/>
      <c r="G619" s="20"/>
      <c r="H619" s="11" t="str">
        <f aca="false">IF(B619="","",IFERROR(INDEX(Program!$H$2:$H$75,MATCH(B619,Program!$D$2:$D$75,0)),""))</f>
        <v/>
      </c>
      <c r="I619" s="11" t="str">
        <f aca="false">IF(B619="","",IFERROR(INDEX(Program!$I$2:$I$75,MATCH(B619,Program!$D$2:$D$75,0)),""))</f>
        <v/>
      </c>
      <c r="J619" s="11" t="str">
        <f aca="false">IF(COUNT(D619:G619)=0,"",COUNT(D619:G619))</f>
        <v/>
      </c>
      <c r="K619" s="12" t="str">
        <f aca="false">IF(OR(J619="",I619=""),"",IF(MIN(D619:G619)&gt;=I619,"Add load (smallest step)",IF(MAX(D619:G619)&lt;H619,"Below range: if again, drop 5–10%","Same load, add reps")))</f>
        <v/>
      </c>
      <c r="L619" s="20"/>
      <c r="M619" s="11" t="str">
        <f aca="false">IF(OR(L619="",C619="",H619="",C619=0),"",MAX(H619,ROUNDUP(30*((L619/C619)*(1+H619/30)-1),0)))</f>
        <v/>
      </c>
    </row>
    <row r="620" customFormat="false" ht="15" hidden="false" customHeight="false" outlineLevel="0" collapsed="false">
      <c r="A620" s="51"/>
      <c r="B620" s="54"/>
      <c r="C620" s="20"/>
      <c r="D620" s="20"/>
      <c r="E620" s="20"/>
      <c r="F620" s="20"/>
      <c r="G620" s="20"/>
      <c r="H620" s="11" t="str">
        <f aca="false">IF(B620="","",IFERROR(INDEX(Program!$H$2:$H$75,MATCH(B620,Program!$D$2:$D$75,0)),""))</f>
        <v/>
      </c>
      <c r="I620" s="11" t="str">
        <f aca="false">IF(B620="","",IFERROR(INDEX(Program!$I$2:$I$75,MATCH(B620,Program!$D$2:$D$75,0)),""))</f>
        <v/>
      </c>
      <c r="J620" s="11" t="str">
        <f aca="false">IF(COUNT(D620:G620)=0,"",COUNT(D620:G620))</f>
        <v/>
      </c>
      <c r="K620" s="12" t="str">
        <f aca="false">IF(OR(J620="",I620=""),"",IF(MIN(D620:G620)&gt;=I620,"Add load (smallest step)",IF(MAX(D620:G620)&lt;H620,"Below range: if again, drop 5–10%","Same load, add reps")))</f>
        <v/>
      </c>
      <c r="L620" s="20"/>
      <c r="M620" s="11" t="str">
        <f aca="false">IF(OR(L620="",C620="",H620="",C620=0),"",MAX(H620,ROUNDUP(30*((L620/C620)*(1+H620/30)-1),0)))</f>
        <v/>
      </c>
    </row>
    <row r="621" customFormat="false" ht="15" hidden="false" customHeight="false" outlineLevel="0" collapsed="false">
      <c r="A621" s="51"/>
      <c r="B621" s="54"/>
      <c r="C621" s="20"/>
      <c r="D621" s="20"/>
      <c r="E621" s="20"/>
      <c r="F621" s="20"/>
      <c r="G621" s="20"/>
      <c r="H621" s="11" t="str">
        <f aca="false">IF(B621="","",IFERROR(INDEX(Program!$H$2:$H$75,MATCH(B621,Program!$D$2:$D$75,0)),""))</f>
        <v/>
      </c>
      <c r="I621" s="11" t="str">
        <f aca="false">IF(B621="","",IFERROR(INDEX(Program!$I$2:$I$75,MATCH(B621,Program!$D$2:$D$75,0)),""))</f>
        <v/>
      </c>
      <c r="J621" s="11" t="str">
        <f aca="false">IF(COUNT(D621:G621)=0,"",COUNT(D621:G621))</f>
        <v/>
      </c>
      <c r="K621" s="12" t="str">
        <f aca="false">IF(OR(J621="",I621=""),"",IF(MIN(D621:G621)&gt;=I621,"Add load (smallest step)",IF(MAX(D621:G621)&lt;H621,"Below range: if again, drop 5–10%","Same load, add reps")))</f>
        <v/>
      </c>
      <c r="L621" s="20"/>
      <c r="M621" s="11" t="str">
        <f aca="false">IF(OR(L621="",C621="",H621="",C621=0),"",MAX(H621,ROUNDUP(30*((L621/C621)*(1+H621/30)-1),0)))</f>
        <v/>
      </c>
    </row>
    <row r="622" customFormat="false" ht="15" hidden="false" customHeight="false" outlineLevel="0" collapsed="false">
      <c r="A622" s="51"/>
      <c r="B622" s="54"/>
      <c r="C622" s="20"/>
      <c r="D622" s="20"/>
      <c r="E622" s="20"/>
      <c r="F622" s="20"/>
      <c r="G622" s="20"/>
      <c r="H622" s="11" t="str">
        <f aca="false">IF(B622="","",IFERROR(INDEX(Program!$H$2:$H$75,MATCH(B622,Program!$D$2:$D$75,0)),""))</f>
        <v/>
      </c>
      <c r="I622" s="11" t="str">
        <f aca="false">IF(B622="","",IFERROR(INDEX(Program!$I$2:$I$75,MATCH(B622,Program!$D$2:$D$75,0)),""))</f>
        <v/>
      </c>
      <c r="J622" s="11" t="str">
        <f aca="false">IF(COUNT(D622:G622)=0,"",COUNT(D622:G622))</f>
        <v/>
      </c>
      <c r="K622" s="12" t="str">
        <f aca="false">IF(OR(J622="",I622=""),"",IF(MIN(D622:G622)&gt;=I622,"Add load (smallest step)",IF(MAX(D622:G622)&lt;H622,"Below range: if again, drop 5–10%","Same load, add reps")))</f>
        <v/>
      </c>
      <c r="L622" s="20"/>
      <c r="M622" s="11" t="str">
        <f aca="false">IF(OR(L622="",C622="",H622="",C622=0),"",MAX(H622,ROUNDUP(30*((L622/C622)*(1+H622/30)-1),0)))</f>
        <v/>
      </c>
    </row>
    <row r="623" customFormat="false" ht="15" hidden="false" customHeight="false" outlineLevel="0" collapsed="false">
      <c r="A623" s="51"/>
      <c r="B623" s="54"/>
      <c r="C623" s="20"/>
      <c r="D623" s="20"/>
      <c r="E623" s="20"/>
      <c r="F623" s="20"/>
      <c r="G623" s="20"/>
      <c r="H623" s="11" t="str">
        <f aca="false">IF(B623="","",IFERROR(INDEX(Program!$H$2:$H$75,MATCH(B623,Program!$D$2:$D$75,0)),""))</f>
        <v/>
      </c>
      <c r="I623" s="11" t="str">
        <f aca="false">IF(B623="","",IFERROR(INDEX(Program!$I$2:$I$75,MATCH(B623,Program!$D$2:$D$75,0)),""))</f>
        <v/>
      </c>
      <c r="J623" s="11" t="str">
        <f aca="false">IF(COUNT(D623:G623)=0,"",COUNT(D623:G623))</f>
        <v/>
      </c>
      <c r="K623" s="12" t="str">
        <f aca="false">IF(OR(J623="",I623=""),"",IF(MIN(D623:G623)&gt;=I623,"Add load (smallest step)",IF(MAX(D623:G623)&lt;H623,"Below range: if again, drop 5–10%","Same load, add reps")))</f>
        <v/>
      </c>
      <c r="L623" s="20"/>
      <c r="M623" s="11" t="str">
        <f aca="false">IF(OR(L623="",C623="",H623="",C623=0),"",MAX(H623,ROUNDUP(30*((L623/C623)*(1+H623/30)-1),0)))</f>
        <v/>
      </c>
    </row>
    <row r="624" customFormat="false" ht="15" hidden="false" customHeight="false" outlineLevel="0" collapsed="false">
      <c r="A624" s="51"/>
      <c r="B624" s="54"/>
      <c r="C624" s="20"/>
      <c r="D624" s="20"/>
      <c r="E624" s="20"/>
      <c r="F624" s="20"/>
      <c r="G624" s="20"/>
      <c r="H624" s="11" t="str">
        <f aca="false">IF(B624="","",IFERROR(INDEX(Program!$H$2:$H$75,MATCH(B624,Program!$D$2:$D$75,0)),""))</f>
        <v/>
      </c>
      <c r="I624" s="11" t="str">
        <f aca="false">IF(B624="","",IFERROR(INDEX(Program!$I$2:$I$75,MATCH(B624,Program!$D$2:$D$75,0)),""))</f>
        <v/>
      </c>
      <c r="J624" s="11" t="str">
        <f aca="false">IF(COUNT(D624:G624)=0,"",COUNT(D624:G624))</f>
        <v/>
      </c>
      <c r="K624" s="12" t="str">
        <f aca="false">IF(OR(J624="",I624=""),"",IF(MIN(D624:G624)&gt;=I624,"Add load (smallest step)",IF(MAX(D624:G624)&lt;H624,"Below range: if again, drop 5–10%","Same load, add reps")))</f>
        <v/>
      </c>
      <c r="L624" s="20"/>
      <c r="M624" s="11" t="str">
        <f aca="false">IF(OR(L624="",C624="",H624="",C624=0),"",MAX(H624,ROUNDUP(30*((L624/C624)*(1+H624/30)-1),0)))</f>
        <v/>
      </c>
    </row>
    <row r="625" customFormat="false" ht="15" hidden="false" customHeight="false" outlineLevel="0" collapsed="false">
      <c r="A625" s="51"/>
      <c r="B625" s="54"/>
      <c r="C625" s="20"/>
      <c r="D625" s="20"/>
      <c r="E625" s="20"/>
      <c r="F625" s="20"/>
      <c r="G625" s="20"/>
      <c r="H625" s="11" t="str">
        <f aca="false">IF(B625="","",IFERROR(INDEX(Program!$H$2:$H$75,MATCH(B625,Program!$D$2:$D$75,0)),""))</f>
        <v/>
      </c>
      <c r="I625" s="11" t="str">
        <f aca="false">IF(B625="","",IFERROR(INDEX(Program!$I$2:$I$75,MATCH(B625,Program!$D$2:$D$75,0)),""))</f>
        <v/>
      </c>
      <c r="J625" s="11" t="str">
        <f aca="false">IF(COUNT(D625:G625)=0,"",COUNT(D625:G625))</f>
        <v/>
      </c>
      <c r="K625" s="12" t="str">
        <f aca="false">IF(OR(J625="",I625=""),"",IF(MIN(D625:G625)&gt;=I625,"Add load (smallest step)",IF(MAX(D625:G625)&lt;H625,"Below range: if again, drop 5–10%","Same load, add reps")))</f>
        <v/>
      </c>
      <c r="L625" s="20"/>
      <c r="M625" s="11" t="str">
        <f aca="false">IF(OR(L625="",C625="",H625="",C625=0),"",MAX(H625,ROUNDUP(30*((L625/C625)*(1+H625/30)-1),0)))</f>
        <v/>
      </c>
    </row>
    <row r="626" customFormat="false" ht="15" hidden="false" customHeight="false" outlineLevel="0" collapsed="false">
      <c r="A626" s="51"/>
      <c r="B626" s="54"/>
      <c r="C626" s="20"/>
      <c r="D626" s="20"/>
      <c r="E626" s="20"/>
      <c r="F626" s="20"/>
      <c r="G626" s="20"/>
      <c r="H626" s="11" t="str">
        <f aca="false">IF(B626="","",IFERROR(INDEX(Program!$H$2:$H$75,MATCH(B626,Program!$D$2:$D$75,0)),""))</f>
        <v/>
      </c>
      <c r="I626" s="11" t="str">
        <f aca="false">IF(B626="","",IFERROR(INDEX(Program!$I$2:$I$75,MATCH(B626,Program!$D$2:$D$75,0)),""))</f>
        <v/>
      </c>
      <c r="J626" s="11" t="str">
        <f aca="false">IF(COUNT(D626:G626)=0,"",COUNT(D626:G626))</f>
        <v/>
      </c>
      <c r="K626" s="12" t="str">
        <f aca="false">IF(OR(J626="",I626=""),"",IF(MIN(D626:G626)&gt;=I626,"Add load (smallest step)",IF(MAX(D626:G626)&lt;H626,"Below range: if again, drop 5–10%","Same load, add reps")))</f>
        <v/>
      </c>
      <c r="L626" s="20"/>
      <c r="M626" s="11" t="str">
        <f aca="false">IF(OR(L626="",C626="",H626="",C626=0),"",MAX(H626,ROUNDUP(30*((L626/C626)*(1+H626/30)-1),0)))</f>
        <v/>
      </c>
    </row>
    <row r="627" customFormat="false" ht="15" hidden="false" customHeight="false" outlineLevel="0" collapsed="false">
      <c r="A627" s="51"/>
      <c r="B627" s="54"/>
      <c r="C627" s="20"/>
      <c r="D627" s="20"/>
      <c r="E627" s="20"/>
      <c r="F627" s="20"/>
      <c r="G627" s="20"/>
      <c r="H627" s="11" t="str">
        <f aca="false">IF(B627="","",IFERROR(INDEX(Program!$H$2:$H$75,MATCH(B627,Program!$D$2:$D$75,0)),""))</f>
        <v/>
      </c>
      <c r="I627" s="11" t="str">
        <f aca="false">IF(B627="","",IFERROR(INDEX(Program!$I$2:$I$75,MATCH(B627,Program!$D$2:$D$75,0)),""))</f>
        <v/>
      </c>
      <c r="J627" s="11" t="str">
        <f aca="false">IF(COUNT(D627:G627)=0,"",COUNT(D627:G627))</f>
        <v/>
      </c>
      <c r="K627" s="12" t="str">
        <f aca="false">IF(OR(J627="",I627=""),"",IF(MIN(D627:G627)&gt;=I627,"Add load (smallest step)",IF(MAX(D627:G627)&lt;H627,"Below range: if again, drop 5–10%","Same load, add reps")))</f>
        <v/>
      </c>
      <c r="L627" s="20"/>
      <c r="M627" s="11" t="str">
        <f aca="false">IF(OR(L627="",C627="",H627="",C627=0),"",MAX(H627,ROUNDUP(30*((L627/C627)*(1+H627/30)-1),0)))</f>
        <v/>
      </c>
    </row>
    <row r="628" customFormat="false" ht="15" hidden="false" customHeight="false" outlineLevel="0" collapsed="false">
      <c r="A628" s="51"/>
      <c r="B628" s="54"/>
      <c r="C628" s="20"/>
      <c r="D628" s="20"/>
      <c r="E628" s="20"/>
      <c r="F628" s="20"/>
      <c r="G628" s="20"/>
      <c r="H628" s="11" t="str">
        <f aca="false">IF(B628="","",IFERROR(INDEX(Program!$H$2:$H$75,MATCH(B628,Program!$D$2:$D$75,0)),""))</f>
        <v/>
      </c>
      <c r="I628" s="11" t="str">
        <f aca="false">IF(B628="","",IFERROR(INDEX(Program!$I$2:$I$75,MATCH(B628,Program!$D$2:$D$75,0)),""))</f>
        <v/>
      </c>
      <c r="J628" s="11" t="str">
        <f aca="false">IF(COUNT(D628:G628)=0,"",COUNT(D628:G628))</f>
        <v/>
      </c>
      <c r="K628" s="12" t="str">
        <f aca="false">IF(OR(J628="",I628=""),"",IF(MIN(D628:G628)&gt;=I628,"Add load (smallest step)",IF(MAX(D628:G628)&lt;H628,"Below range: if again, drop 5–10%","Same load, add reps")))</f>
        <v/>
      </c>
      <c r="L628" s="20"/>
      <c r="M628" s="11" t="str">
        <f aca="false">IF(OR(L628="",C628="",H628="",C628=0),"",MAX(H628,ROUNDUP(30*((L628/C628)*(1+H628/30)-1),0)))</f>
        <v/>
      </c>
    </row>
    <row r="629" customFormat="false" ht="15" hidden="false" customHeight="false" outlineLevel="0" collapsed="false">
      <c r="A629" s="51"/>
      <c r="B629" s="54"/>
      <c r="C629" s="20"/>
      <c r="D629" s="20"/>
      <c r="E629" s="20"/>
      <c r="F629" s="20"/>
      <c r="G629" s="20"/>
      <c r="H629" s="11" t="str">
        <f aca="false">IF(B629="","",IFERROR(INDEX(Program!$H$2:$H$75,MATCH(B629,Program!$D$2:$D$75,0)),""))</f>
        <v/>
      </c>
      <c r="I629" s="11" t="str">
        <f aca="false">IF(B629="","",IFERROR(INDEX(Program!$I$2:$I$75,MATCH(B629,Program!$D$2:$D$75,0)),""))</f>
        <v/>
      </c>
      <c r="J629" s="11" t="str">
        <f aca="false">IF(COUNT(D629:G629)=0,"",COUNT(D629:G629))</f>
        <v/>
      </c>
      <c r="K629" s="12" t="str">
        <f aca="false">IF(OR(J629="",I629=""),"",IF(MIN(D629:G629)&gt;=I629,"Add load (smallest step)",IF(MAX(D629:G629)&lt;H629,"Below range: if again, drop 5–10%","Same load, add reps")))</f>
        <v/>
      </c>
      <c r="L629" s="20"/>
      <c r="M629" s="11" t="str">
        <f aca="false">IF(OR(L629="",C629="",H629="",C629=0),"",MAX(H629,ROUNDUP(30*((L629/C629)*(1+H629/30)-1),0)))</f>
        <v/>
      </c>
    </row>
    <row r="630" customFormat="false" ht="15" hidden="false" customHeight="false" outlineLevel="0" collapsed="false">
      <c r="A630" s="51"/>
      <c r="B630" s="54"/>
      <c r="C630" s="20"/>
      <c r="D630" s="20"/>
      <c r="E630" s="20"/>
      <c r="F630" s="20"/>
      <c r="G630" s="20"/>
      <c r="H630" s="11" t="str">
        <f aca="false">IF(B630="","",IFERROR(INDEX(Program!$H$2:$H$75,MATCH(B630,Program!$D$2:$D$75,0)),""))</f>
        <v/>
      </c>
      <c r="I630" s="11" t="str">
        <f aca="false">IF(B630="","",IFERROR(INDEX(Program!$I$2:$I$75,MATCH(B630,Program!$D$2:$D$75,0)),""))</f>
        <v/>
      </c>
      <c r="J630" s="11" t="str">
        <f aca="false">IF(COUNT(D630:G630)=0,"",COUNT(D630:G630))</f>
        <v/>
      </c>
      <c r="K630" s="12" t="str">
        <f aca="false">IF(OR(J630="",I630=""),"",IF(MIN(D630:G630)&gt;=I630,"Add load (smallest step)",IF(MAX(D630:G630)&lt;H630,"Below range: if again, drop 5–10%","Same load, add reps")))</f>
        <v/>
      </c>
      <c r="L630" s="20"/>
      <c r="M630" s="11" t="str">
        <f aca="false">IF(OR(L630="",C630="",H630="",C630=0),"",MAX(H630,ROUNDUP(30*((L630/C630)*(1+H630/30)-1),0)))</f>
        <v/>
      </c>
    </row>
    <row r="631" customFormat="false" ht="15" hidden="false" customHeight="false" outlineLevel="0" collapsed="false">
      <c r="A631" s="51"/>
      <c r="B631" s="54"/>
      <c r="C631" s="20"/>
      <c r="D631" s="20"/>
      <c r="E631" s="20"/>
      <c r="F631" s="20"/>
      <c r="G631" s="20"/>
      <c r="H631" s="11" t="str">
        <f aca="false">IF(B631="","",IFERROR(INDEX(Program!$H$2:$H$75,MATCH(B631,Program!$D$2:$D$75,0)),""))</f>
        <v/>
      </c>
      <c r="I631" s="11" t="str">
        <f aca="false">IF(B631="","",IFERROR(INDEX(Program!$I$2:$I$75,MATCH(B631,Program!$D$2:$D$75,0)),""))</f>
        <v/>
      </c>
      <c r="J631" s="11" t="str">
        <f aca="false">IF(COUNT(D631:G631)=0,"",COUNT(D631:G631))</f>
        <v/>
      </c>
      <c r="K631" s="12" t="str">
        <f aca="false">IF(OR(J631="",I631=""),"",IF(MIN(D631:G631)&gt;=I631,"Add load (smallest step)",IF(MAX(D631:G631)&lt;H631,"Below range: if again, drop 5–10%","Same load, add reps")))</f>
        <v/>
      </c>
      <c r="L631" s="20"/>
      <c r="M631" s="11" t="str">
        <f aca="false">IF(OR(L631="",C631="",H631="",C631=0),"",MAX(H631,ROUNDUP(30*((L631/C631)*(1+H631/30)-1),0)))</f>
        <v/>
      </c>
    </row>
    <row r="632" customFormat="false" ht="15" hidden="false" customHeight="false" outlineLevel="0" collapsed="false">
      <c r="A632" s="51"/>
      <c r="B632" s="54"/>
      <c r="C632" s="20"/>
      <c r="D632" s="20"/>
      <c r="E632" s="20"/>
      <c r="F632" s="20"/>
      <c r="G632" s="20"/>
      <c r="H632" s="11" t="str">
        <f aca="false">IF(B632="","",IFERROR(INDEX(Program!$H$2:$H$75,MATCH(B632,Program!$D$2:$D$75,0)),""))</f>
        <v/>
      </c>
      <c r="I632" s="11" t="str">
        <f aca="false">IF(B632="","",IFERROR(INDEX(Program!$I$2:$I$75,MATCH(B632,Program!$D$2:$D$75,0)),""))</f>
        <v/>
      </c>
      <c r="J632" s="11" t="str">
        <f aca="false">IF(COUNT(D632:G632)=0,"",COUNT(D632:G632))</f>
        <v/>
      </c>
      <c r="K632" s="12" t="str">
        <f aca="false">IF(OR(J632="",I632=""),"",IF(MIN(D632:G632)&gt;=I632,"Add load (smallest step)",IF(MAX(D632:G632)&lt;H632,"Below range: if again, drop 5–10%","Same load, add reps")))</f>
        <v/>
      </c>
      <c r="L632" s="20"/>
      <c r="M632" s="11" t="str">
        <f aca="false">IF(OR(L632="",C632="",H632="",C632=0),"",MAX(H632,ROUNDUP(30*((L632/C632)*(1+H632/30)-1),0)))</f>
        <v/>
      </c>
    </row>
    <row r="633" customFormat="false" ht="15" hidden="false" customHeight="false" outlineLevel="0" collapsed="false">
      <c r="A633" s="51"/>
      <c r="B633" s="54"/>
      <c r="C633" s="20"/>
      <c r="D633" s="20"/>
      <c r="E633" s="20"/>
      <c r="F633" s="20"/>
      <c r="G633" s="20"/>
      <c r="H633" s="11" t="str">
        <f aca="false">IF(B633="","",IFERROR(INDEX(Program!$H$2:$H$75,MATCH(B633,Program!$D$2:$D$75,0)),""))</f>
        <v/>
      </c>
      <c r="I633" s="11" t="str">
        <f aca="false">IF(B633="","",IFERROR(INDEX(Program!$I$2:$I$75,MATCH(B633,Program!$D$2:$D$75,0)),""))</f>
        <v/>
      </c>
      <c r="J633" s="11" t="str">
        <f aca="false">IF(COUNT(D633:G633)=0,"",COUNT(D633:G633))</f>
        <v/>
      </c>
      <c r="K633" s="12" t="str">
        <f aca="false">IF(OR(J633="",I633=""),"",IF(MIN(D633:G633)&gt;=I633,"Add load (smallest step)",IF(MAX(D633:G633)&lt;H633,"Below range: if again, drop 5–10%","Same load, add reps")))</f>
        <v/>
      </c>
      <c r="L633" s="20"/>
      <c r="M633" s="11" t="str">
        <f aca="false">IF(OR(L633="",C633="",H633="",C633=0),"",MAX(H633,ROUNDUP(30*((L633/C633)*(1+H633/30)-1),0)))</f>
        <v/>
      </c>
    </row>
    <row r="634" customFormat="false" ht="15" hidden="false" customHeight="false" outlineLevel="0" collapsed="false">
      <c r="A634" s="51"/>
      <c r="B634" s="54"/>
      <c r="C634" s="20"/>
      <c r="D634" s="20"/>
      <c r="E634" s="20"/>
      <c r="F634" s="20"/>
      <c r="G634" s="20"/>
      <c r="H634" s="11" t="str">
        <f aca="false">IF(B634="","",IFERROR(INDEX(Program!$H$2:$H$75,MATCH(B634,Program!$D$2:$D$75,0)),""))</f>
        <v/>
      </c>
      <c r="I634" s="11" t="str">
        <f aca="false">IF(B634="","",IFERROR(INDEX(Program!$I$2:$I$75,MATCH(B634,Program!$D$2:$D$75,0)),""))</f>
        <v/>
      </c>
      <c r="J634" s="11" t="str">
        <f aca="false">IF(COUNT(D634:G634)=0,"",COUNT(D634:G634))</f>
        <v/>
      </c>
      <c r="K634" s="12" t="str">
        <f aca="false">IF(OR(J634="",I634=""),"",IF(MIN(D634:G634)&gt;=I634,"Add load (smallest step)",IF(MAX(D634:G634)&lt;H634,"Below range: if again, drop 5–10%","Same load, add reps")))</f>
        <v/>
      </c>
      <c r="L634" s="20"/>
      <c r="M634" s="11" t="str">
        <f aca="false">IF(OR(L634="",C634="",H634="",C634=0),"",MAX(H634,ROUNDUP(30*((L634/C634)*(1+H634/30)-1),0)))</f>
        <v/>
      </c>
    </row>
    <row r="635" customFormat="false" ht="15" hidden="false" customHeight="false" outlineLevel="0" collapsed="false">
      <c r="A635" s="51"/>
      <c r="B635" s="54"/>
      <c r="C635" s="20"/>
      <c r="D635" s="20"/>
      <c r="E635" s="20"/>
      <c r="F635" s="20"/>
      <c r="G635" s="20"/>
      <c r="H635" s="11" t="str">
        <f aca="false">IF(B635="","",IFERROR(INDEX(Program!$H$2:$H$75,MATCH(B635,Program!$D$2:$D$75,0)),""))</f>
        <v/>
      </c>
      <c r="I635" s="11" t="str">
        <f aca="false">IF(B635="","",IFERROR(INDEX(Program!$I$2:$I$75,MATCH(B635,Program!$D$2:$D$75,0)),""))</f>
        <v/>
      </c>
      <c r="J635" s="11" t="str">
        <f aca="false">IF(COUNT(D635:G635)=0,"",COUNT(D635:G635))</f>
        <v/>
      </c>
      <c r="K635" s="12" t="str">
        <f aca="false">IF(OR(J635="",I635=""),"",IF(MIN(D635:G635)&gt;=I635,"Add load (smallest step)",IF(MAX(D635:G635)&lt;H635,"Below range: if again, drop 5–10%","Same load, add reps")))</f>
        <v/>
      </c>
      <c r="L635" s="20"/>
      <c r="M635" s="11" t="str">
        <f aca="false">IF(OR(L635="",C635="",H635="",C635=0),"",MAX(H635,ROUNDUP(30*((L635/C635)*(1+H635/30)-1),0)))</f>
        <v/>
      </c>
    </row>
    <row r="636" customFormat="false" ht="15" hidden="false" customHeight="false" outlineLevel="0" collapsed="false">
      <c r="A636" s="51"/>
      <c r="B636" s="54"/>
      <c r="C636" s="20"/>
      <c r="D636" s="20"/>
      <c r="E636" s="20"/>
      <c r="F636" s="20"/>
      <c r="G636" s="20"/>
      <c r="H636" s="11" t="str">
        <f aca="false">IF(B636="","",IFERROR(INDEX(Program!$H$2:$H$75,MATCH(B636,Program!$D$2:$D$75,0)),""))</f>
        <v/>
      </c>
      <c r="I636" s="11" t="str">
        <f aca="false">IF(B636="","",IFERROR(INDEX(Program!$I$2:$I$75,MATCH(B636,Program!$D$2:$D$75,0)),""))</f>
        <v/>
      </c>
      <c r="J636" s="11" t="str">
        <f aca="false">IF(COUNT(D636:G636)=0,"",COUNT(D636:G636))</f>
        <v/>
      </c>
      <c r="K636" s="12" t="str">
        <f aca="false">IF(OR(J636="",I636=""),"",IF(MIN(D636:G636)&gt;=I636,"Add load (smallest step)",IF(MAX(D636:G636)&lt;H636,"Below range: if again, drop 5–10%","Same load, add reps")))</f>
        <v/>
      </c>
      <c r="L636" s="20"/>
      <c r="M636" s="11" t="str">
        <f aca="false">IF(OR(L636="",C636="",H636="",C636=0),"",MAX(H636,ROUNDUP(30*((L636/C636)*(1+H636/30)-1),0)))</f>
        <v/>
      </c>
    </row>
    <row r="637" customFormat="false" ht="15" hidden="false" customHeight="false" outlineLevel="0" collapsed="false">
      <c r="A637" s="51"/>
      <c r="B637" s="54"/>
      <c r="C637" s="20"/>
      <c r="D637" s="20"/>
      <c r="E637" s="20"/>
      <c r="F637" s="20"/>
      <c r="G637" s="20"/>
      <c r="H637" s="11" t="str">
        <f aca="false">IF(B637="","",IFERROR(INDEX(Program!$H$2:$H$75,MATCH(B637,Program!$D$2:$D$75,0)),""))</f>
        <v/>
      </c>
      <c r="I637" s="11" t="str">
        <f aca="false">IF(B637="","",IFERROR(INDEX(Program!$I$2:$I$75,MATCH(B637,Program!$D$2:$D$75,0)),""))</f>
        <v/>
      </c>
      <c r="J637" s="11" t="str">
        <f aca="false">IF(COUNT(D637:G637)=0,"",COUNT(D637:G637))</f>
        <v/>
      </c>
      <c r="K637" s="12" t="str">
        <f aca="false">IF(OR(J637="",I637=""),"",IF(MIN(D637:G637)&gt;=I637,"Add load (smallest step)",IF(MAX(D637:G637)&lt;H637,"Below range: if again, drop 5–10%","Same load, add reps")))</f>
        <v/>
      </c>
      <c r="L637" s="20"/>
      <c r="M637" s="11" t="str">
        <f aca="false">IF(OR(L637="",C637="",H637="",C637=0),"",MAX(H637,ROUNDUP(30*((L637/C637)*(1+H637/30)-1),0)))</f>
        <v/>
      </c>
    </row>
    <row r="638" customFormat="false" ht="15" hidden="false" customHeight="false" outlineLevel="0" collapsed="false">
      <c r="A638" s="51"/>
      <c r="B638" s="54"/>
      <c r="C638" s="20"/>
      <c r="D638" s="20"/>
      <c r="E638" s="20"/>
      <c r="F638" s="20"/>
      <c r="G638" s="20"/>
      <c r="H638" s="11" t="str">
        <f aca="false">IF(B638="","",IFERROR(INDEX(Program!$H$2:$H$75,MATCH(B638,Program!$D$2:$D$75,0)),""))</f>
        <v/>
      </c>
      <c r="I638" s="11" t="str">
        <f aca="false">IF(B638="","",IFERROR(INDEX(Program!$I$2:$I$75,MATCH(B638,Program!$D$2:$D$75,0)),""))</f>
        <v/>
      </c>
      <c r="J638" s="11" t="str">
        <f aca="false">IF(COUNT(D638:G638)=0,"",COUNT(D638:G638))</f>
        <v/>
      </c>
      <c r="K638" s="12" t="str">
        <f aca="false">IF(OR(J638="",I638=""),"",IF(MIN(D638:G638)&gt;=I638,"Add load (smallest step)",IF(MAX(D638:G638)&lt;H638,"Below range: if again, drop 5–10%","Same load, add reps")))</f>
        <v/>
      </c>
      <c r="L638" s="20"/>
      <c r="M638" s="11" t="str">
        <f aca="false">IF(OR(L638="",C638="",H638="",C638=0),"",MAX(H638,ROUNDUP(30*((L638/C638)*(1+H638/30)-1),0)))</f>
        <v/>
      </c>
    </row>
    <row r="639" customFormat="false" ht="15" hidden="false" customHeight="false" outlineLevel="0" collapsed="false">
      <c r="A639" s="51"/>
      <c r="B639" s="54"/>
      <c r="C639" s="20"/>
      <c r="D639" s="20"/>
      <c r="E639" s="20"/>
      <c r="F639" s="20"/>
      <c r="G639" s="20"/>
      <c r="H639" s="11" t="str">
        <f aca="false">IF(B639="","",IFERROR(INDEX(Program!$H$2:$H$75,MATCH(B639,Program!$D$2:$D$75,0)),""))</f>
        <v/>
      </c>
      <c r="I639" s="11" t="str">
        <f aca="false">IF(B639="","",IFERROR(INDEX(Program!$I$2:$I$75,MATCH(B639,Program!$D$2:$D$75,0)),""))</f>
        <v/>
      </c>
      <c r="J639" s="11" t="str">
        <f aca="false">IF(COUNT(D639:G639)=0,"",COUNT(D639:G639))</f>
        <v/>
      </c>
      <c r="K639" s="12" t="str">
        <f aca="false">IF(OR(J639="",I639=""),"",IF(MIN(D639:G639)&gt;=I639,"Add load (smallest step)",IF(MAX(D639:G639)&lt;H639,"Below range: if again, drop 5–10%","Same load, add reps")))</f>
        <v/>
      </c>
      <c r="L639" s="20"/>
      <c r="M639" s="11" t="str">
        <f aca="false">IF(OR(L639="",C639="",H639="",C639=0),"",MAX(H639,ROUNDUP(30*((L639/C639)*(1+H639/30)-1),0)))</f>
        <v/>
      </c>
    </row>
    <row r="640" customFormat="false" ht="15" hidden="false" customHeight="false" outlineLevel="0" collapsed="false">
      <c r="A640" s="51"/>
      <c r="B640" s="54"/>
      <c r="C640" s="20"/>
      <c r="D640" s="20"/>
      <c r="E640" s="20"/>
      <c r="F640" s="20"/>
      <c r="G640" s="20"/>
      <c r="H640" s="11" t="str">
        <f aca="false">IF(B640="","",IFERROR(INDEX(Program!$H$2:$H$75,MATCH(B640,Program!$D$2:$D$75,0)),""))</f>
        <v/>
      </c>
      <c r="I640" s="11" t="str">
        <f aca="false">IF(B640="","",IFERROR(INDEX(Program!$I$2:$I$75,MATCH(B640,Program!$D$2:$D$75,0)),""))</f>
        <v/>
      </c>
      <c r="J640" s="11" t="str">
        <f aca="false">IF(COUNT(D640:G640)=0,"",COUNT(D640:G640))</f>
        <v/>
      </c>
      <c r="K640" s="12" t="str">
        <f aca="false">IF(OR(J640="",I640=""),"",IF(MIN(D640:G640)&gt;=I640,"Add load (smallest step)",IF(MAX(D640:G640)&lt;H640,"Below range: if again, drop 5–10%","Same load, add reps")))</f>
        <v/>
      </c>
      <c r="L640" s="20"/>
      <c r="M640" s="11" t="str">
        <f aca="false">IF(OR(L640="",C640="",H640="",C640=0),"",MAX(H640,ROUNDUP(30*((L640/C640)*(1+H640/30)-1),0)))</f>
        <v/>
      </c>
    </row>
    <row r="641" customFormat="false" ht="15" hidden="false" customHeight="false" outlineLevel="0" collapsed="false">
      <c r="A641" s="51"/>
      <c r="B641" s="54"/>
      <c r="C641" s="20"/>
      <c r="D641" s="20"/>
      <c r="E641" s="20"/>
      <c r="F641" s="20"/>
      <c r="G641" s="20"/>
      <c r="H641" s="11" t="str">
        <f aca="false">IF(B641="","",IFERROR(INDEX(Program!$H$2:$H$75,MATCH(B641,Program!$D$2:$D$75,0)),""))</f>
        <v/>
      </c>
      <c r="I641" s="11" t="str">
        <f aca="false">IF(B641="","",IFERROR(INDEX(Program!$I$2:$I$75,MATCH(B641,Program!$D$2:$D$75,0)),""))</f>
        <v/>
      </c>
      <c r="J641" s="11" t="str">
        <f aca="false">IF(COUNT(D641:G641)=0,"",COUNT(D641:G641))</f>
        <v/>
      </c>
      <c r="K641" s="12" t="str">
        <f aca="false">IF(OR(J641="",I641=""),"",IF(MIN(D641:G641)&gt;=I641,"Add load (smallest step)",IF(MAX(D641:G641)&lt;H641,"Below range: if again, drop 5–10%","Same load, add reps")))</f>
        <v/>
      </c>
      <c r="L641" s="20"/>
      <c r="M641" s="11" t="str">
        <f aca="false">IF(OR(L641="",C641="",H641="",C641=0),"",MAX(H641,ROUNDUP(30*((L641/C641)*(1+H641/30)-1),0)))</f>
        <v/>
      </c>
    </row>
    <row r="642" customFormat="false" ht="15" hidden="false" customHeight="false" outlineLevel="0" collapsed="false">
      <c r="A642" s="51"/>
      <c r="B642" s="54"/>
      <c r="C642" s="20"/>
      <c r="D642" s="20"/>
      <c r="E642" s="20"/>
      <c r="F642" s="20"/>
      <c r="G642" s="20"/>
      <c r="H642" s="11" t="str">
        <f aca="false">IF(B642="","",IFERROR(INDEX(Program!$H$2:$H$75,MATCH(B642,Program!$D$2:$D$75,0)),""))</f>
        <v/>
      </c>
      <c r="I642" s="11" t="str">
        <f aca="false">IF(B642="","",IFERROR(INDEX(Program!$I$2:$I$75,MATCH(B642,Program!$D$2:$D$75,0)),""))</f>
        <v/>
      </c>
      <c r="J642" s="11" t="str">
        <f aca="false">IF(COUNT(D642:G642)=0,"",COUNT(D642:G642))</f>
        <v/>
      </c>
      <c r="K642" s="12" t="str">
        <f aca="false">IF(OR(J642="",I642=""),"",IF(MIN(D642:G642)&gt;=I642,"Add load (smallest step)",IF(MAX(D642:G642)&lt;H642,"Below range: if again, drop 5–10%","Same load, add reps")))</f>
        <v/>
      </c>
      <c r="L642" s="20"/>
      <c r="M642" s="11" t="str">
        <f aca="false">IF(OR(L642="",C642="",H642="",C642=0),"",MAX(H642,ROUNDUP(30*((L642/C642)*(1+H642/30)-1),0)))</f>
        <v/>
      </c>
    </row>
    <row r="643" customFormat="false" ht="15" hidden="false" customHeight="false" outlineLevel="0" collapsed="false">
      <c r="A643" s="51"/>
      <c r="B643" s="54"/>
      <c r="C643" s="20"/>
      <c r="D643" s="20"/>
      <c r="E643" s="20"/>
      <c r="F643" s="20"/>
      <c r="G643" s="20"/>
      <c r="H643" s="11" t="str">
        <f aca="false">IF(B643="","",IFERROR(INDEX(Program!$H$2:$H$75,MATCH(B643,Program!$D$2:$D$75,0)),""))</f>
        <v/>
      </c>
      <c r="I643" s="11" t="str">
        <f aca="false">IF(B643="","",IFERROR(INDEX(Program!$I$2:$I$75,MATCH(B643,Program!$D$2:$D$75,0)),""))</f>
        <v/>
      </c>
      <c r="J643" s="11" t="str">
        <f aca="false">IF(COUNT(D643:G643)=0,"",COUNT(D643:G643))</f>
        <v/>
      </c>
      <c r="K643" s="12" t="str">
        <f aca="false">IF(OR(J643="",I643=""),"",IF(MIN(D643:G643)&gt;=I643,"Add load (smallest step)",IF(MAX(D643:G643)&lt;H643,"Below range: if again, drop 5–10%","Same load, add reps")))</f>
        <v/>
      </c>
      <c r="L643" s="20"/>
      <c r="M643" s="11" t="str">
        <f aca="false">IF(OR(L643="",C643="",H643="",C643=0),"",MAX(H643,ROUNDUP(30*((L643/C643)*(1+H643/30)-1),0)))</f>
        <v/>
      </c>
    </row>
    <row r="644" customFormat="false" ht="15" hidden="false" customHeight="false" outlineLevel="0" collapsed="false">
      <c r="A644" s="51"/>
      <c r="B644" s="54"/>
      <c r="C644" s="20"/>
      <c r="D644" s="20"/>
      <c r="E644" s="20"/>
      <c r="F644" s="20"/>
      <c r="G644" s="20"/>
      <c r="H644" s="11" t="str">
        <f aca="false">IF(B644="","",IFERROR(INDEX(Program!$H$2:$H$75,MATCH(B644,Program!$D$2:$D$75,0)),""))</f>
        <v/>
      </c>
      <c r="I644" s="11" t="str">
        <f aca="false">IF(B644="","",IFERROR(INDEX(Program!$I$2:$I$75,MATCH(B644,Program!$D$2:$D$75,0)),""))</f>
        <v/>
      </c>
      <c r="J644" s="11" t="str">
        <f aca="false">IF(COUNT(D644:G644)=0,"",COUNT(D644:G644))</f>
        <v/>
      </c>
      <c r="K644" s="12" t="str">
        <f aca="false">IF(OR(J644="",I644=""),"",IF(MIN(D644:G644)&gt;=I644,"Add load (smallest step)",IF(MAX(D644:G644)&lt;H644,"Below range: if again, drop 5–10%","Same load, add reps")))</f>
        <v/>
      </c>
      <c r="L644" s="20"/>
      <c r="M644" s="11" t="str">
        <f aca="false">IF(OR(L644="",C644="",H644="",C644=0),"",MAX(H644,ROUNDUP(30*((L644/C644)*(1+H644/30)-1),0)))</f>
        <v/>
      </c>
    </row>
    <row r="645" customFormat="false" ht="15" hidden="false" customHeight="false" outlineLevel="0" collapsed="false">
      <c r="A645" s="51"/>
      <c r="B645" s="54"/>
      <c r="C645" s="20"/>
      <c r="D645" s="20"/>
      <c r="E645" s="20"/>
      <c r="F645" s="20"/>
      <c r="G645" s="20"/>
      <c r="H645" s="11" t="str">
        <f aca="false">IF(B645="","",IFERROR(INDEX(Program!$H$2:$H$75,MATCH(B645,Program!$D$2:$D$75,0)),""))</f>
        <v/>
      </c>
      <c r="I645" s="11" t="str">
        <f aca="false">IF(B645="","",IFERROR(INDEX(Program!$I$2:$I$75,MATCH(B645,Program!$D$2:$D$75,0)),""))</f>
        <v/>
      </c>
      <c r="J645" s="11" t="str">
        <f aca="false">IF(COUNT(D645:G645)=0,"",COUNT(D645:G645))</f>
        <v/>
      </c>
      <c r="K645" s="12" t="str">
        <f aca="false">IF(OR(J645="",I645=""),"",IF(MIN(D645:G645)&gt;=I645,"Add load (smallest step)",IF(MAX(D645:G645)&lt;H645,"Below range: if again, drop 5–10%","Same load, add reps")))</f>
        <v/>
      </c>
      <c r="L645" s="20"/>
      <c r="M645" s="11" t="str">
        <f aca="false">IF(OR(L645="",C645="",H645="",C645=0),"",MAX(H645,ROUNDUP(30*((L645/C645)*(1+H645/30)-1),0)))</f>
        <v/>
      </c>
    </row>
    <row r="646" customFormat="false" ht="15" hidden="false" customHeight="false" outlineLevel="0" collapsed="false">
      <c r="A646" s="51"/>
      <c r="B646" s="54"/>
      <c r="C646" s="20"/>
      <c r="D646" s="20"/>
      <c r="E646" s="20"/>
      <c r="F646" s="20"/>
      <c r="G646" s="20"/>
      <c r="H646" s="11" t="str">
        <f aca="false">IF(B646="","",IFERROR(INDEX(Program!$H$2:$H$75,MATCH(B646,Program!$D$2:$D$75,0)),""))</f>
        <v/>
      </c>
      <c r="I646" s="11" t="str">
        <f aca="false">IF(B646="","",IFERROR(INDEX(Program!$I$2:$I$75,MATCH(B646,Program!$D$2:$D$75,0)),""))</f>
        <v/>
      </c>
      <c r="J646" s="11" t="str">
        <f aca="false">IF(COUNT(D646:G646)=0,"",COUNT(D646:G646))</f>
        <v/>
      </c>
      <c r="K646" s="12" t="str">
        <f aca="false">IF(OR(J646="",I646=""),"",IF(MIN(D646:G646)&gt;=I646,"Add load (smallest step)",IF(MAX(D646:G646)&lt;H646,"Below range: if again, drop 5–10%","Same load, add reps")))</f>
        <v/>
      </c>
      <c r="L646" s="20"/>
      <c r="M646" s="11" t="str">
        <f aca="false">IF(OR(L646="",C646="",H646="",C646=0),"",MAX(H646,ROUNDUP(30*((L646/C646)*(1+H646/30)-1),0)))</f>
        <v/>
      </c>
    </row>
    <row r="647" customFormat="false" ht="15" hidden="false" customHeight="false" outlineLevel="0" collapsed="false">
      <c r="A647" s="51"/>
      <c r="B647" s="54"/>
      <c r="C647" s="20"/>
      <c r="D647" s="20"/>
      <c r="E647" s="20"/>
      <c r="F647" s="20"/>
      <c r="G647" s="20"/>
      <c r="H647" s="11" t="str">
        <f aca="false">IF(B647="","",IFERROR(INDEX(Program!$H$2:$H$75,MATCH(B647,Program!$D$2:$D$75,0)),""))</f>
        <v/>
      </c>
      <c r="I647" s="11" t="str">
        <f aca="false">IF(B647="","",IFERROR(INDEX(Program!$I$2:$I$75,MATCH(B647,Program!$D$2:$D$75,0)),""))</f>
        <v/>
      </c>
      <c r="J647" s="11" t="str">
        <f aca="false">IF(COUNT(D647:G647)=0,"",COUNT(D647:G647))</f>
        <v/>
      </c>
      <c r="K647" s="12" t="str">
        <f aca="false">IF(OR(J647="",I647=""),"",IF(MIN(D647:G647)&gt;=I647,"Add load (smallest step)",IF(MAX(D647:G647)&lt;H647,"Below range: if again, drop 5–10%","Same load, add reps")))</f>
        <v/>
      </c>
      <c r="L647" s="20"/>
      <c r="M647" s="11" t="str">
        <f aca="false">IF(OR(L647="",C647="",H647="",C647=0),"",MAX(H647,ROUNDUP(30*((L647/C647)*(1+H647/30)-1),0)))</f>
        <v/>
      </c>
    </row>
    <row r="648" customFormat="false" ht="15" hidden="false" customHeight="false" outlineLevel="0" collapsed="false">
      <c r="A648" s="51"/>
      <c r="B648" s="54"/>
      <c r="C648" s="20"/>
      <c r="D648" s="20"/>
      <c r="E648" s="20"/>
      <c r="F648" s="20"/>
      <c r="G648" s="20"/>
      <c r="H648" s="11" t="str">
        <f aca="false">IF(B648="","",IFERROR(INDEX(Program!$H$2:$H$75,MATCH(B648,Program!$D$2:$D$75,0)),""))</f>
        <v/>
      </c>
      <c r="I648" s="11" t="str">
        <f aca="false">IF(B648="","",IFERROR(INDEX(Program!$I$2:$I$75,MATCH(B648,Program!$D$2:$D$75,0)),""))</f>
        <v/>
      </c>
      <c r="J648" s="11" t="str">
        <f aca="false">IF(COUNT(D648:G648)=0,"",COUNT(D648:G648))</f>
        <v/>
      </c>
      <c r="K648" s="12" t="str">
        <f aca="false">IF(OR(J648="",I648=""),"",IF(MIN(D648:G648)&gt;=I648,"Add load (smallest step)",IF(MAX(D648:G648)&lt;H648,"Below range: if again, drop 5–10%","Same load, add reps")))</f>
        <v/>
      </c>
      <c r="L648" s="20"/>
      <c r="M648" s="11" t="str">
        <f aca="false">IF(OR(L648="",C648="",H648="",C648=0),"",MAX(H648,ROUNDUP(30*((L648/C648)*(1+H648/30)-1),0)))</f>
        <v/>
      </c>
    </row>
    <row r="649" customFormat="false" ht="15" hidden="false" customHeight="false" outlineLevel="0" collapsed="false">
      <c r="A649" s="51"/>
      <c r="B649" s="54"/>
      <c r="C649" s="20"/>
      <c r="D649" s="20"/>
      <c r="E649" s="20"/>
      <c r="F649" s="20"/>
      <c r="G649" s="20"/>
      <c r="H649" s="11" t="str">
        <f aca="false">IF(B649="","",IFERROR(INDEX(Program!$H$2:$H$75,MATCH(B649,Program!$D$2:$D$75,0)),""))</f>
        <v/>
      </c>
      <c r="I649" s="11" t="str">
        <f aca="false">IF(B649="","",IFERROR(INDEX(Program!$I$2:$I$75,MATCH(B649,Program!$D$2:$D$75,0)),""))</f>
        <v/>
      </c>
      <c r="J649" s="11" t="str">
        <f aca="false">IF(COUNT(D649:G649)=0,"",COUNT(D649:G649))</f>
        <v/>
      </c>
      <c r="K649" s="12" t="str">
        <f aca="false">IF(OR(J649="",I649=""),"",IF(MIN(D649:G649)&gt;=I649,"Add load (smallest step)",IF(MAX(D649:G649)&lt;H649,"Below range: if again, drop 5–10%","Same load, add reps")))</f>
        <v/>
      </c>
      <c r="L649" s="20"/>
      <c r="M649" s="11" t="str">
        <f aca="false">IF(OR(L649="",C649="",H649="",C649=0),"",MAX(H649,ROUNDUP(30*((L649/C649)*(1+H649/30)-1),0)))</f>
        <v/>
      </c>
    </row>
    <row r="650" customFormat="false" ht="15" hidden="false" customHeight="false" outlineLevel="0" collapsed="false">
      <c r="A650" s="51"/>
      <c r="B650" s="54"/>
      <c r="C650" s="20"/>
      <c r="D650" s="20"/>
      <c r="E650" s="20"/>
      <c r="F650" s="20"/>
      <c r="G650" s="20"/>
      <c r="H650" s="11" t="str">
        <f aca="false">IF(B650="","",IFERROR(INDEX(Program!$H$2:$H$75,MATCH(B650,Program!$D$2:$D$75,0)),""))</f>
        <v/>
      </c>
      <c r="I650" s="11" t="str">
        <f aca="false">IF(B650="","",IFERROR(INDEX(Program!$I$2:$I$75,MATCH(B650,Program!$D$2:$D$75,0)),""))</f>
        <v/>
      </c>
      <c r="J650" s="11" t="str">
        <f aca="false">IF(COUNT(D650:G650)=0,"",COUNT(D650:G650))</f>
        <v/>
      </c>
      <c r="K650" s="12" t="str">
        <f aca="false">IF(OR(J650="",I650=""),"",IF(MIN(D650:G650)&gt;=I650,"Add load (smallest step)",IF(MAX(D650:G650)&lt;H650,"Below range: if again, drop 5–10%","Same load, add reps")))</f>
        <v/>
      </c>
      <c r="L650" s="20"/>
      <c r="M650" s="11" t="str">
        <f aca="false">IF(OR(L650="",C650="",H650="",C650=0),"",MAX(H650,ROUNDUP(30*((L650/C650)*(1+H650/30)-1),0)))</f>
        <v/>
      </c>
    </row>
    <row r="651" customFormat="false" ht="15" hidden="false" customHeight="false" outlineLevel="0" collapsed="false">
      <c r="A651" s="51"/>
      <c r="B651" s="54"/>
      <c r="C651" s="20"/>
      <c r="D651" s="20"/>
      <c r="E651" s="20"/>
      <c r="F651" s="20"/>
      <c r="G651" s="20"/>
      <c r="H651" s="11" t="str">
        <f aca="false">IF(B651="","",IFERROR(INDEX(Program!$H$2:$H$75,MATCH(B651,Program!$D$2:$D$75,0)),""))</f>
        <v/>
      </c>
      <c r="I651" s="11" t="str">
        <f aca="false">IF(B651="","",IFERROR(INDEX(Program!$I$2:$I$75,MATCH(B651,Program!$D$2:$D$75,0)),""))</f>
        <v/>
      </c>
      <c r="J651" s="11" t="str">
        <f aca="false">IF(COUNT(D651:G651)=0,"",COUNT(D651:G651))</f>
        <v/>
      </c>
      <c r="K651" s="12" t="str">
        <f aca="false">IF(OR(J651="",I651=""),"",IF(MIN(D651:G651)&gt;=I651,"Add load (smallest step)",IF(MAX(D651:G651)&lt;H651,"Below range: if again, drop 5–10%","Same load, add reps")))</f>
        <v/>
      </c>
      <c r="L651" s="20"/>
      <c r="M651" s="11" t="str">
        <f aca="false">IF(OR(L651="",C651="",H651="",C651=0),"",MAX(H651,ROUNDUP(30*((L651/C651)*(1+H651/30)-1),0)))</f>
        <v/>
      </c>
    </row>
    <row r="652" customFormat="false" ht="15" hidden="false" customHeight="false" outlineLevel="0" collapsed="false">
      <c r="A652" s="51"/>
      <c r="B652" s="54"/>
      <c r="C652" s="20"/>
      <c r="D652" s="20"/>
      <c r="E652" s="20"/>
      <c r="F652" s="20"/>
      <c r="G652" s="20"/>
      <c r="H652" s="11" t="str">
        <f aca="false">IF(B652="","",IFERROR(INDEX(Program!$H$2:$H$75,MATCH(B652,Program!$D$2:$D$75,0)),""))</f>
        <v/>
      </c>
      <c r="I652" s="11" t="str">
        <f aca="false">IF(B652="","",IFERROR(INDEX(Program!$I$2:$I$75,MATCH(B652,Program!$D$2:$D$75,0)),""))</f>
        <v/>
      </c>
      <c r="J652" s="11" t="str">
        <f aca="false">IF(COUNT(D652:G652)=0,"",COUNT(D652:G652))</f>
        <v/>
      </c>
      <c r="K652" s="12" t="str">
        <f aca="false">IF(OR(J652="",I652=""),"",IF(MIN(D652:G652)&gt;=I652,"Add load (smallest step)",IF(MAX(D652:G652)&lt;H652,"Below range: if again, drop 5–10%","Same load, add reps")))</f>
        <v/>
      </c>
      <c r="L652" s="20"/>
      <c r="M652" s="11" t="str">
        <f aca="false">IF(OR(L652="",C652="",H652="",C652=0),"",MAX(H652,ROUNDUP(30*((L652/C652)*(1+H652/30)-1),0)))</f>
        <v/>
      </c>
    </row>
    <row r="653" customFormat="false" ht="15" hidden="false" customHeight="false" outlineLevel="0" collapsed="false">
      <c r="A653" s="51"/>
      <c r="B653" s="54"/>
      <c r="C653" s="20"/>
      <c r="D653" s="20"/>
      <c r="E653" s="20"/>
      <c r="F653" s="20"/>
      <c r="G653" s="20"/>
      <c r="H653" s="11" t="str">
        <f aca="false">IF(B653="","",IFERROR(INDEX(Program!$H$2:$H$75,MATCH(B653,Program!$D$2:$D$75,0)),""))</f>
        <v/>
      </c>
      <c r="I653" s="11" t="str">
        <f aca="false">IF(B653="","",IFERROR(INDEX(Program!$I$2:$I$75,MATCH(B653,Program!$D$2:$D$75,0)),""))</f>
        <v/>
      </c>
      <c r="J653" s="11" t="str">
        <f aca="false">IF(COUNT(D653:G653)=0,"",COUNT(D653:G653))</f>
        <v/>
      </c>
      <c r="K653" s="12" t="str">
        <f aca="false">IF(OR(J653="",I653=""),"",IF(MIN(D653:G653)&gt;=I653,"Add load (smallest step)",IF(MAX(D653:G653)&lt;H653,"Below range: if again, drop 5–10%","Same load, add reps")))</f>
        <v/>
      </c>
      <c r="L653" s="20"/>
      <c r="M653" s="11" t="str">
        <f aca="false">IF(OR(L653="",C653="",H653="",C653=0),"",MAX(H653,ROUNDUP(30*((L653/C653)*(1+H653/30)-1),0)))</f>
        <v/>
      </c>
    </row>
    <row r="654" customFormat="false" ht="15" hidden="false" customHeight="false" outlineLevel="0" collapsed="false">
      <c r="A654" s="51"/>
      <c r="B654" s="54"/>
      <c r="C654" s="20"/>
      <c r="D654" s="20"/>
      <c r="E654" s="20"/>
      <c r="F654" s="20"/>
      <c r="G654" s="20"/>
      <c r="H654" s="11" t="str">
        <f aca="false">IF(B654="","",IFERROR(INDEX(Program!$H$2:$H$75,MATCH(B654,Program!$D$2:$D$75,0)),""))</f>
        <v/>
      </c>
      <c r="I654" s="11" t="str">
        <f aca="false">IF(B654="","",IFERROR(INDEX(Program!$I$2:$I$75,MATCH(B654,Program!$D$2:$D$75,0)),""))</f>
        <v/>
      </c>
      <c r="J654" s="11" t="str">
        <f aca="false">IF(COUNT(D654:G654)=0,"",COUNT(D654:G654))</f>
        <v/>
      </c>
      <c r="K654" s="12" t="str">
        <f aca="false">IF(OR(J654="",I654=""),"",IF(MIN(D654:G654)&gt;=I654,"Add load (smallest step)",IF(MAX(D654:G654)&lt;H654,"Below range: if again, drop 5–10%","Same load, add reps")))</f>
        <v/>
      </c>
      <c r="L654" s="20"/>
      <c r="M654" s="11" t="str">
        <f aca="false">IF(OR(L654="",C654="",H654="",C654=0),"",MAX(H654,ROUNDUP(30*((L654/C654)*(1+H654/30)-1),0)))</f>
        <v/>
      </c>
    </row>
    <row r="655" customFormat="false" ht="15" hidden="false" customHeight="false" outlineLevel="0" collapsed="false">
      <c r="A655" s="51"/>
      <c r="B655" s="54"/>
      <c r="C655" s="20"/>
      <c r="D655" s="20"/>
      <c r="E655" s="20"/>
      <c r="F655" s="20"/>
      <c r="G655" s="20"/>
      <c r="H655" s="11" t="str">
        <f aca="false">IF(B655="","",IFERROR(INDEX(Program!$H$2:$H$75,MATCH(B655,Program!$D$2:$D$75,0)),""))</f>
        <v/>
      </c>
      <c r="I655" s="11" t="str">
        <f aca="false">IF(B655="","",IFERROR(INDEX(Program!$I$2:$I$75,MATCH(B655,Program!$D$2:$D$75,0)),""))</f>
        <v/>
      </c>
      <c r="J655" s="11" t="str">
        <f aca="false">IF(COUNT(D655:G655)=0,"",COUNT(D655:G655))</f>
        <v/>
      </c>
      <c r="K655" s="12" t="str">
        <f aca="false">IF(OR(J655="",I655=""),"",IF(MIN(D655:G655)&gt;=I655,"Add load (smallest step)",IF(MAX(D655:G655)&lt;H655,"Below range: if again, drop 5–10%","Same load, add reps")))</f>
        <v/>
      </c>
      <c r="L655" s="20"/>
      <c r="M655" s="11" t="str">
        <f aca="false">IF(OR(L655="",C655="",H655="",C655=0),"",MAX(H655,ROUNDUP(30*((L655/C655)*(1+H655/30)-1),0)))</f>
        <v/>
      </c>
    </row>
    <row r="656" customFormat="false" ht="15" hidden="false" customHeight="false" outlineLevel="0" collapsed="false">
      <c r="A656" s="51"/>
      <c r="B656" s="54"/>
      <c r="C656" s="20"/>
      <c r="D656" s="20"/>
      <c r="E656" s="20"/>
      <c r="F656" s="20"/>
      <c r="G656" s="20"/>
      <c r="H656" s="11" t="str">
        <f aca="false">IF(B656="","",IFERROR(INDEX(Program!$H$2:$H$75,MATCH(B656,Program!$D$2:$D$75,0)),""))</f>
        <v/>
      </c>
      <c r="I656" s="11" t="str">
        <f aca="false">IF(B656="","",IFERROR(INDEX(Program!$I$2:$I$75,MATCH(B656,Program!$D$2:$D$75,0)),""))</f>
        <v/>
      </c>
      <c r="J656" s="11" t="str">
        <f aca="false">IF(COUNT(D656:G656)=0,"",COUNT(D656:G656))</f>
        <v/>
      </c>
      <c r="K656" s="12" t="str">
        <f aca="false">IF(OR(J656="",I656=""),"",IF(MIN(D656:G656)&gt;=I656,"Add load (smallest step)",IF(MAX(D656:G656)&lt;H656,"Below range: if again, drop 5–10%","Same load, add reps")))</f>
        <v/>
      </c>
      <c r="L656" s="20"/>
      <c r="M656" s="11" t="str">
        <f aca="false">IF(OR(L656="",C656="",H656="",C656=0),"",MAX(H656,ROUNDUP(30*((L656/C656)*(1+H656/30)-1),0)))</f>
        <v/>
      </c>
    </row>
    <row r="657" customFormat="false" ht="15" hidden="false" customHeight="false" outlineLevel="0" collapsed="false">
      <c r="A657" s="51"/>
      <c r="B657" s="54"/>
      <c r="C657" s="20"/>
      <c r="D657" s="20"/>
      <c r="E657" s="20"/>
      <c r="F657" s="20"/>
      <c r="G657" s="20"/>
      <c r="H657" s="11" t="str">
        <f aca="false">IF(B657="","",IFERROR(INDEX(Program!$H$2:$H$75,MATCH(B657,Program!$D$2:$D$75,0)),""))</f>
        <v/>
      </c>
      <c r="I657" s="11" t="str">
        <f aca="false">IF(B657="","",IFERROR(INDEX(Program!$I$2:$I$75,MATCH(B657,Program!$D$2:$D$75,0)),""))</f>
        <v/>
      </c>
      <c r="J657" s="11" t="str">
        <f aca="false">IF(COUNT(D657:G657)=0,"",COUNT(D657:G657))</f>
        <v/>
      </c>
      <c r="K657" s="12" t="str">
        <f aca="false">IF(OR(J657="",I657=""),"",IF(MIN(D657:G657)&gt;=I657,"Add load (smallest step)",IF(MAX(D657:G657)&lt;H657,"Below range: if again, drop 5–10%","Same load, add reps")))</f>
        <v/>
      </c>
      <c r="L657" s="20"/>
      <c r="M657" s="11" t="str">
        <f aca="false">IF(OR(L657="",C657="",H657="",C657=0),"",MAX(H657,ROUNDUP(30*((L657/C657)*(1+H657/30)-1),0)))</f>
        <v/>
      </c>
    </row>
    <row r="658" customFormat="false" ht="15" hidden="false" customHeight="false" outlineLevel="0" collapsed="false">
      <c r="A658" s="51"/>
      <c r="B658" s="54"/>
      <c r="C658" s="20"/>
      <c r="D658" s="20"/>
      <c r="E658" s="20"/>
      <c r="F658" s="20"/>
      <c r="G658" s="20"/>
      <c r="H658" s="11" t="str">
        <f aca="false">IF(B658="","",IFERROR(INDEX(Program!$H$2:$H$75,MATCH(B658,Program!$D$2:$D$75,0)),""))</f>
        <v/>
      </c>
      <c r="I658" s="11" t="str">
        <f aca="false">IF(B658="","",IFERROR(INDEX(Program!$I$2:$I$75,MATCH(B658,Program!$D$2:$D$75,0)),""))</f>
        <v/>
      </c>
      <c r="J658" s="11" t="str">
        <f aca="false">IF(COUNT(D658:G658)=0,"",COUNT(D658:G658))</f>
        <v/>
      </c>
      <c r="K658" s="12" t="str">
        <f aca="false">IF(OR(J658="",I658=""),"",IF(MIN(D658:G658)&gt;=I658,"Add load (smallest step)",IF(MAX(D658:G658)&lt;H658,"Below range: if again, drop 5–10%","Same load, add reps")))</f>
        <v/>
      </c>
      <c r="L658" s="20"/>
      <c r="M658" s="11" t="str">
        <f aca="false">IF(OR(L658="",C658="",H658="",C658=0),"",MAX(H658,ROUNDUP(30*((L658/C658)*(1+H658/30)-1),0)))</f>
        <v/>
      </c>
    </row>
    <row r="659" customFormat="false" ht="15" hidden="false" customHeight="false" outlineLevel="0" collapsed="false">
      <c r="A659" s="51"/>
      <c r="B659" s="54"/>
      <c r="C659" s="20"/>
      <c r="D659" s="20"/>
      <c r="E659" s="20"/>
      <c r="F659" s="20"/>
      <c r="G659" s="20"/>
      <c r="H659" s="11" t="str">
        <f aca="false">IF(B659="","",IFERROR(INDEX(Program!$H$2:$H$75,MATCH(B659,Program!$D$2:$D$75,0)),""))</f>
        <v/>
      </c>
      <c r="I659" s="11" t="str">
        <f aca="false">IF(B659="","",IFERROR(INDEX(Program!$I$2:$I$75,MATCH(B659,Program!$D$2:$D$75,0)),""))</f>
        <v/>
      </c>
      <c r="J659" s="11" t="str">
        <f aca="false">IF(COUNT(D659:G659)=0,"",COUNT(D659:G659))</f>
        <v/>
      </c>
      <c r="K659" s="12" t="str">
        <f aca="false">IF(OR(J659="",I659=""),"",IF(MIN(D659:G659)&gt;=I659,"Add load (smallest step)",IF(MAX(D659:G659)&lt;H659,"Below range: if again, drop 5–10%","Same load, add reps")))</f>
        <v/>
      </c>
      <c r="L659" s="20"/>
      <c r="M659" s="11" t="str">
        <f aca="false">IF(OR(L659="",C659="",H659="",C659=0),"",MAX(H659,ROUNDUP(30*((L659/C659)*(1+H659/30)-1),0)))</f>
        <v/>
      </c>
    </row>
    <row r="660" customFormat="false" ht="15" hidden="false" customHeight="false" outlineLevel="0" collapsed="false">
      <c r="A660" s="51"/>
      <c r="B660" s="54"/>
      <c r="C660" s="20"/>
      <c r="D660" s="20"/>
      <c r="E660" s="20"/>
      <c r="F660" s="20"/>
      <c r="G660" s="20"/>
      <c r="H660" s="11" t="str">
        <f aca="false">IF(B660="","",IFERROR(INDEX(Program!$H$2:$H$75,MATCH(B660,Program!$D$2:$D$75,0)),""))</f>
        <v/>
      </c>
      <c r="I660" s="11" t="str">
        <f aca="false">IF(B660="","",IFERROR(INDEX(Program!$I$2:$I$75,MATCH(B660,Program!$D$2:$D$75,0)),""))</f>
        <v/>
      </c>
      <c r="J660" s="11" t="str">
        <f aca="false">IF(COUNT(D660:G660)=0,"",COUNT(D660:G660))</f>
        <v/>
      </c>
      <c r="K660" s="12" t="str">
        <f aca="false">IF(OR(J660="",I660=""),"",IF(MIN(D660:G660)&gt;=I660,"Add load (smallest step)",IF(MAX(D660:G660)&lt;H660,"Below range: if again, drop 5–10%","Same load, add reps")))</f>
        <v/>
      </c>
      <c r="L660" s="20"/>
      <c r="M660" s="11" t="str">
        <f aca="false">IF(OR(L660="",C660="",H660="",C660=0),"",MAX(H660,ROUNDUP(30*((L660/C660)*(1+H660/30)-1),0)))</f>
        <v/>
      </c>
    </row>
    <row r="661" customFormat="false" ht="15" hidden="false" customHeight="false" outlineLevel="0" collapsed="false">
      <c r="A661" s="51"/>
      <c r="B661" s="54"/>
      <c r="C661" s="20"/>
      <c r="D661" s="20"/>
      <c r="E661" s="20"/>
      <c r="F661" s="20"/>
      <c r="G661" s="20"/>
      <c r="H661" s="11" t="str">
        <f aca="false">IF(B661="","",IFERROR(INDEX(Program!$H$2:$H$75,MATCH(B661,Program!$D$2:$D$75,0)),""))</f>
        <v/>
      </c>
      <c r="I661" s="11" t="str">
        <f aca="false">IF(B661="","",IFERROR(INDEX(Program!$I$2:$I$75,MATCH(B661,Program!$D$2:$D$75,0)),""))</f>
        <v/>
      </c>
      <c r="J661" s="11" t="str">
        <f aca="false">IF(COUNT(D661:G661)=0,"",COUNT(D661:G661))</f>
        <v/>
      </c>
      <c r="K661" s="12" t="str">
        <f aca="false">IF(OR(J661="",I661=""),"",IF(MIN(D661:G661)&gt;=I661,"Add load (smallest step)",IF(MAX(D661:G661)&lt;H661,"Below range: if again, drop 5–10%","Same load, add reps")))</f>
        <v/>
      </c>
      <c r="L661" s="20"/>
      <c r="M661" s="11" t="str">
        <f aca="false">IF(OR(L661="",C661="",H661="",C661=0),"",MAX(H661,ROUNDUP(30*((L661/C661)*(1+H661/30)-1),0)))</f>
        <v/>
      </c>
    </row>
    <row r="662" customFormat="false" ht="15" hidden="false" customHeight="false" outlineLevel="0" collapsed="false">
      <c r="A662" s="51"/>
      <c r="B662" s="54"/>
      <c r="C662" s="20"/>
      <c r="D662" s="20"/>
      <c r="E662" s="20"/>
      <c r="F662" s="20"/>
      <c r="G662" s="20"/>
      <c r="H662" s="11" t="str">
        <f aca="false">IF(B662="","",IFERROR(INDEX(Program!$H$2:$H$75,MATCH(B662,Program!$D$2:$D$75,0)),""))</f>
        <v/>
      </c>
      <c r="I662" s="11" t="str">
        <f aca="false">IF(B662="","",IFERROR(INDEX(Program!$I$2:$I$75,MATCH(B662,Program!$D$2:$D$75,0)),""))</f>
        <v/>
      </c>
      <c r="J662" s="11" t="str">
        <f aca="false">IF(COUNT(D662:G662)=0,"",COUNT(D662:G662))</f>
        <v/>
      </c>
      <c r="K662" s="12" t="str">
        <f aca="false">IF(OR(J662="",I662=""),"",IF(MIN(D662:G662)&gt;=I662,"Add load (smallest step)",IF(MAX(D662:G662)&lt;H662,"Below range: if again, drop 5–10%","Same load, add reps")))</f>
        <v/>
      </c>
      <c r="L662" s="20"/>
      <c r="M662" s="11" t="str">
        <f aca="false">IF(OR(L662="",C662="",H662="",C662=0),"",MAX(H662,ROUNDUP(30*((L662/C662)*(1+H662/30)-1),0)))</f>
        <v/>
      </c>
    </row>
    <row r="663" customFormat="false" ht="15" hidden="false" customHeight="false" outlineLevel="0" collapsed="false">
      <c r="A663" s="51"/>
      <c r="B663" s="54"/>
      <c r="C663" s="20"/>
      <c r="D663" s="20"/>
      <c r="E663" s="20"/>
      <c r="F663" s="20"/>
      <c r="G663" s="20"/>
      <c r="H663" s="11" t="str">
        <f aca="false">IF(B663="","",IFERROR(INDEX(Program!$H$2:$H$75,MATCH(B663,Program!$D$2:$D$75,0)),""))</f>
        <v/>
      </c>
      <c r="I663" s="11" t="str">
        <f aca="false">IF(B663="","",IFERROR(INDEX(Program!$I$2:$I$75,MATCH(B663,Program!$D$2:$D$75,0)),""))</f>
        <v/>
      </c>
      <c r="J663" s="11" t="str">
        <f aca="false">IF(COUNT(D663:G663)=0,"",COUNT(D663:G663))</f>
        <v/>
      </c>
      <c r="K663" s="12" t="str">
        <f aca="false">IF(OR(J663="",I663=""),"",IF(MIN(D663:G663)&gt;=I663,"Add load (smallest step)",IF(MAX(D663:G663)&lt;H663,"Below range: if again, drop 5–10%","Same load, add reps")))</f>
        <v/>
      </c>
      <c r="L663" s="20"/>
      <c r="M663" s="11" t="str">
        <f aca="false">IF(OR(L663="",C663="",H663="",C663=0),"",MAX(H663,ROUNDUP(30*((L663/C663)*(1+H663/30)-1),0)))</f>
        <v/>
      </c>
    </row>
    <row r="664" customFormat="false" ht="15" hidden="false" customHeight="false" outlineLevel="0" collapsed="false">
      <c r="A664" s="51"/>
      <c r="B664" s="54"/>
      <c r="C664" s="20"/>
      <c r="D664" s="20"/>
      <c r="E664" s="20"/>
      <c r="F664" s="20"/>
      <c r="G664" s="20"/>
      <c r="H664" s="11" t="str">
        <f aca="false">IF(B664="","",IFERROR(INDEX(Program!$H$2:$H$75,MATCH(B664,Program!$D$2:$D$75,0)),""))</f>
        <v/>
      </c>
      <c r="I664" s="11" t="str">
        <f aca="false">IF(B664="","",IFERROR(INDEX(Program!$I$2:$I$75,MATCH(B664,Program!$D$2:$D$75,0)),""))</f>
        <v/>
      </c>
      <c r="J664" s="11" t="str">
        <f aca="false">IF(COUNT(D664:G664)=0,"",COUNT(D664:G664))</f>
        <v/>
      </c>
      <c r="K664" s="12" t="str">
        <f aca="false">IF(OR(J664="",I664=""),"",IF(MIN(D664:G664)&gt;=I664,"Add load (smallest step)",IF(MAX(D664:G664)&lt;H664,"Below range: if again, drop 5–10%","Same load, add reps")))</f>
        <v/>
      </c>
      <c r="L664" s="20"/>
      <c r="M664" s="11" t="str">
        <f aca="false">IF(OR(L664="",C664="",H664="",C664=0),"",MAX(H664,ROUNDUP(30*((L664/C664)*(1+H664/30)-1),0)))</f>
        <v/>
      </c>
    </row>
    <row r="665" customFormat="false" ht="15" hidden="false" customHeight="false" outlineLevel="0" collapsed="false">
      <c r="A665" s="51"/>
      <c r="B665" s="54"/>
      <c r="C665" s="20"/>
      <c r="D665" s="20"/>
      <c r="E665" s="20"/>
      <c r="F665" s="20"/>
      <c r="G665" s="20"/>
      <c r="H665" s="11" t="str">
        <f aca="false">IF(B665="","",IFERROR(INDEX(Program!$H$2:$H$75,MATCH(B665,Program!$D$2:$D$75,0)),""))</f>
        <v/>
      </c>
      <c r="I665" s="11" t="str">
        <f aca="false">IF(B665="","",IFERROR(INDEX(Program!$I$2:$I$75,MATCH(B665,Program!$D$2:$D$75,0)),""))</f>
        <v/>
      </c>
      <c r="J665" s="11" t="str">
        <f aca="false">IF(COUNT(D665:G665)=0,"",COUNT(D665:G665))</f>
        <v/>
      </c>
      <c r="K665" s="12" t="str">
        <f aca="false">IF(OR(J665="",I665=""),"",IF(MIN(D665:G665)&gt;=I665,"Add load (smallest step)",IF(MAX(D665:G665)&lt;H665,"Below range: if again, drop 5–10%","Same load, add reps")))</f>
        <v/>
      </c>
      <c r="L665" s="20"/>
      <c r="M665" s="11" t="str">
        <f aca="false">IF(OR(L665="",C665="",H665="",C665=0),"",MAX(H665,ROUNDUP(30*((L665/C665)*(1+H665/30)-1),0)))</f>
        <v/>
      </c>
    </row>
    <row r="666" customFormat="false" ht="15" hidden="false" customHeight="false" outlineLevel="0" collapsed="false">
      <c r="A666" s="51"/>
      <c r="B666" s="54"/>
      <c r="C666" s="20"/>
      <c r="D666" s="20"/>
      <c r="E666" s="20"/>
      <c r="F666" s="20"/>
      <c r="G666" s="20"/>
      <c r="H666" s="11" t="str">
        <f aca="false">IF(B666="","",IFERROR(INDEX(Program!$H$2:$H$75,MATCH(B666,Program!$D$2:$D$75,0)),""))</f>
        <v/>
      </c>
      <c r="I666" s="11" t="str">
        <f aca="false">IF(B666="","",IFERROR(INDEX(Program!$I$2:$I$75,MATCH(B666,Program!$D$2:$D$75,0)),""))</f>
        <v/>
      </c>
      <c r="J666" s="11" t="str">
        <f aca="false">IF(COUNT(D666:G666)=0,"",COUNT(D666:G666))</f>
        <v/>
      </c>
      <c r="K666" s="12" t="str">
        <f aca="false">IF(OR(J666="",I666=""),"",IF(MIN(D666:G666)&gt;=I666,"Add load (smallest step)",IF(MAX(D666:G666)&lt;H666,"Below range: if again, drop 5–10%","Same load, add reps")))</f>
        <v/>
      </c>
      <c r="L666" s="20"/>
      <c r="M666" s="11" t="str">
        <f aca="false">IF(OR(L666="",C666="",H666="",C666=0),"",MAX(H666,ROUNDUP(30*((L666/C666)*(1+H666/30)-1),0)))</f>
        <v/>
      </c>
    </row>
    <row r="667" customFormat="false" ht="15" hidden="false" customHeight="false" outlineLevel="0" collapsed="false">
      <c r="A667" s="51"/>
      <c r="B667" s="54"/>
      <c r="C667" s="20"/>
      <c r="D667" s="20"/>
      <c r="E667" s="20"/>
      <c r="F667" s="20"/>
      <c r="G667" s="20"/>
      <c r="H667" s="11" t="str">
        <f aca="false">IF(B667="","",IFERROR(INDEX(Program!$H$2:$H$75,MATCH(B667,Program!$D$2:$D$75,0)),""))</f>
        <v/>
      </c>
      <c r="I667" s="11" t="str">
        <f aca="false">IF(B667="","",IFERROR(INDEX(Program!$I$2:$I$75,MATCH(B667,Program!$D$2:$D$75,0)),""))</f>
        <v/>
      </c>
      <c r="J667" s="11" t="str">
        <f aca="false">IF(COUNT(D667:G667)=0,"",COUNT(D667:G667))</f>
        <v/>
      </c>
      <c r="K667" s="12" t="str">
        <f aca="false">IF(OR(J667="",I667=""),"",IF(MIN(D667:G667)&gt;=I667,"Add load (smallest step)",IF(MAX(D667:G667)&lt;H667,"Below range: if again, drop 5–10%","Same load, add reps")))</f>
        <v/>
      </c>
      <c r="L667" s="20"/>
      <c r="M667" s="11" t="str">
        <f aca="false">IF(OR(L667="",C667="",H667="",C667=0),"",MAX(H667,ROUNDUP(30*((L667/C667)*(1+H667/30)-1),0)))</f>
        <v/>
      </c>
    </row>
    <row r="668" customFormat="false" ht="15" hidden="false" customHeight="false" outlineLevel="0" collapsed="false">
      <c r="A668" s="51"/>
      <c r="B668" s="54"/>
      <c r="C668" s="20"/>
      <c r="D668" s="20"/>
      <c r="E668" s="20"/>
      <c r="F668" s="20"/>
      <c r="G668" s="20"/>
      <c r="H668" s="11" t="str">
        <f aca="false">IF(B668="","",IFERROR(INDEX(Program!$H$2:$H$75,MATCH(B668,Program!$D$2:$D$75,0)),""))</f>
        <v/>
      </c>
      <c r="I668" s="11" t="str">
        <f aca="false">IF(B668="","",IFERROR(INDEX(Program!$I$2:$I$75,MATCH(B668,Program!$D$2:$D$75,0)),""))</f>
        <v/>
      </c>
      <c r="J668" s="11" t="str">
        <f aca="false">IF(COUNT(D668:G668)=0,"",COUNT(D668:G668))</f>
        <v/>
      </c>
      <c r="K668" s="12" t="str">
        <f aca="false">IF(OR(J668="",I668=""),"",IF(MIN(D668:G668)&gt;=I668,"Add load (smallest step)",IF(MAX(D668:G668)&lt;H668,"Below range: if again, drop 5–10%","Same load, add reps")))</f>
        <v/>
      </c>
      <c r="L668" s="20"/>
      <c r="M668" s="11" t="str">
        <f aca="false">IF(OR(L668="",C668="",H668="",C668=0),"",MAX(H668,ROUNDUP(30*((L668/C668)*(1+H668/30)-1),0)))</f>
        <v/>
      </c>
    </row>
    <row r="669" customFormat="false" ht="15" hidden="false" customHeight="false" outlineLevel="0" collapsed="false">
      <c r="A669" s="51"/>
      <c r="B669" s="54"/>
      <c r="C669" s="20"/>
      <c r="D669" s="20"/>
      <c r="E669" s="20"/>
      <c r="F669" s="20"/>
      <c r="G669" s="20"/>
      <c r="H669" s="11" t="str">
        <f aca="false">IF(B669="","",IFERROR(INDEX(Program!$H$2:$H$75,MATCH(B669,Program!$D$2:$D$75,0)),""))</f>
        <v/>
      </c>
      <c r="I669" s="11" t="str">
        <f aca="false">IF(B669="","",IFERROR(INDEX(Program!$I$2:$I$75,MATCH(B669,Program!$D$2:$D$75,0)),""))</f>
        <v/>
      </c>
      <c r="J669" s="11" t="str">
        <f aca="false">IF(COUNT(D669:G669)=0,"",COUNT(D669:G669))</f>
        <v/>
      </c>
      <c r="K669" s="12" t="str">
        <f aca="false">IF(OR(J669="",I669=""),"",IF(MIN(D669:G669)&gt;=I669,"Add load (smallest step)",IF(MAX(D669:G669)&lt;H669,"Below range: if again, drop 5–10%","Same load, add reps")))</f>
        <v/>
      </c>
      <c r="L669" s="20"/>
      <c r="M669" s="11" t="str">
        <f aca="false">IF(OR(L669="",C669="",H669="",C669=0),"",MAX(H669,ROUNDUP(30*((L669/C669)*(1+H669/30)-1),0)))</f>
        <v/>
      </c>
    </row>
    <row r="670" customFormat="false" ht="15" hidden="false" customHeight="false" outlineLevel="0" collapsed="false">
      <c r="A670" s="51"/>
      <c r="B670" s="54"/>
      <c r="C670" s="20"/>
      <c r="D670" s="20"/>
      <c r="E670" s="20"/>
      <c r="F670" s="20"/>
      <c r="G670" s="20"/>
      <c r="H670" s="11" t="str">
        <f aca="false">IF(B670="","",IFERROR(INDEX(Program!$H$2:$H$75,MATCH(B670,Program!$D$2:$D$75,0)),""))</f>
        <v/>
      </c>
      <c r="I670" s="11" t="str">
        <f aca="false">IF(B670="","",IFERROR(INDEX(Program!$I$2:$I$75,MATCH(B670,Program!$D$2:$D$75,0)),""))</f>
        <v/>
      </c>
      <c r="J670" s="11" t="str">
        <f aca="false">IF(COUNT(D670:G670)=0,"",COUNT(D670:G670))</f>
        <v/>
      </c>
      <c r="K670" s="12" t="str">
        <f aca="false">IF(OR(J670="",I670=""),"",IF(MIN(D670:G670)&gt;=I670,"Add load (smallest step)",IF(MAX(D670:G670)&lt;H670,"Below range: if again, drop 5–10%","Same load, add reps")))</f>
        <v/>
      </c>
      <c r="L670" s="20"/>
      <c r="M670" s="11" t="str">
        <f aca="false">IF(OR(L670="",C670="",H670="",C670=0),"",MAX(H670,ROUNDUP(30*((L670/C670)*(1+H670/30)-1),0)))</f>
        <v/>
      </c>
    </row>
    <row r="671" customFormat="false" ht="15" hidden="false" customHeight="false" outlineLevel="0" collapsed="false">
      <c r="A671" s="51"/>
      <c r="B671" s="54"/>
      <c r="C671" s="20"/>
      <c r="D671" s="20"/>
      <c r="E671" s="20"/>
      <c r="F671" s="20"/>
      <c r="G671" s="20"/>
      <c r="H671" s="11" t="str">
        <f aca="false">IF(B671="","",IFERROR(INDEX(Program!$H$2:$H$75,MATCH(B671,Program!$D$2:$D$75,0)),""))</f>
        <v/>
      </c>
      <c r="I671" s="11" t="str">
        <f aca="false">IF(B671="","",IFERROR(INDEX(Program!$I$2:$I$75,MATCH(B671,Program!$D$2:$D$75,0)),""))</f>
        <v/>
      </c>
      <c r="J671" s="11" t="str">
        <f aca="false">IF(COUNT(D671:G671)=0,"",COUNT(D671:G671))</f>
        <v/>
      </c>
      <c r="K671" s="12" t="str">
        <f aca="false">IF(OR(J671="",I671=""),"",IF(MIN(D671:G671)&gt;=I671,"Add load (smallest step)",IF(MAX(D671:G671)&lt;H671,"Below range: if again, drop 5–10%","Same load, add reps")))</f>
        <v/>
      </c>
      <c r="L671" s="20"/>
      <c r="M671" s="11" t="str">
        <f aca="false">IF(OR(L671="",C671="",H671="",C671=0),"",MAX(H671,ROUNDUP(30*((L671/C671)*(1+H671/30)-1),0)))</f>
        <v/>
      </c>
    </row>
    <row r="672" customFormat="false" ht="15" hidden="false" customHeight="false" outlineLevel="0" collapsed="false">
      <c r="A672" s="51"/>
      <c r="B672" s="54"/>
      <c r="C672" s="20"/>
      <c r="D672" s="20"/>
      <c r="E672" s="20"/>
      <c r="F672" s="20"/>
      <c r="G672" s="20"/>
      <c r="H672" s="11" t="str">
        <f aca="false">IF(B672="","",IFERROR(INDEX(Program!$H$2:$H$75,MATCH(B672,Program!$D$2:$D$75,0)),""))</f>
        <v/>
      </c>
      <c r="I672" s="11" t="str">
        <f aca="false">IF(B672="","",IFERROR(INDEX(Program!$I$2:$I$75,MATCH(B672,Program!$D$2:$D$75,0)),""))</f>
        <v/>
      </c>
      <c r="J672" s="11" t="str">
        <f aca="false">IF(COUNT(D672:G672)=0,"",COUNT(D672:G672))</f>
        <v/>
      </c>
      <c r="K672" s="12" t="str">
        <f aca="false">IF(OR(J672="",I672=""),"",IF(MIN(D672:G672)&gt;=I672,"Add load (smallest step)",IF(MAX(D672:G672)&lt;H672,"Below range: if again, drop 5–10%","Same load, add reps")))</f>
        <v/>
      </c>
      <c r="L672" s="20"/>
      <c r="M672" s="11" t="str">
        <f aca="false">IF(OR(L672="",C672="",H672="",C672=0),"",MAX(H672,ROUNDUP(30*((L672/C672)*(1+H672/30)-1),0)))</f>
        <v/>
      </c>
    </row>
    <row r="673" customFormat="false" ht="15" hidden="false" customHeight="false" outlineLevel="0" collapsed="false">
      <c r="A673" s="51"/>
      <c r="B673" s="54"/>
      <c r="C673" s="20"/>
      <c r="D673" s="20"/>
      <c r="E673" s="20"/>
      <c r="F673" s="20"/>
      <c r="G673" s="20"/>
      <c r="H673" s="11" t="str">
        <f aca="false">IF(B673="","",IFERROR(INDEX(Program!$H$2:$H$75,MATCH(B673,Program!$D$2:$D$75,0)),""))</f>
        <v/>
      </c>
      <c r="I673" s="11" t="str">
        <f aca="false">IF(B673="","",IFERROR(INDEX(Program!$I$2:$I$75,MATCH(B673,Program!$D$2:$D$75,0)),""))</f>
        <v/>
      </c>
      <c r="J673" s="11" t="str">
        <f aca="false">IF(COUNT(D673:G673)=0,"",COUNT(D673:G673))</f>
        <v/>
      </c>
      <c r="K673" s="12" t="str">
        <f aca="false">IF(OR(J673="",I673=""),"",IF(MIN(D673:G673)&gt;=I673,"Add load (smallest step)",IF(MAX(D673:G673)&lt;H673,"Below range: if again, drop 5–10%","Same load, add reps")))</f>
        <v/>
      </c>
      <c r="L673" s="20"/>
      <c r="M673" s="11" t="str">
        <f aca="false">IF(OR(L673="",C673="",H673="",C673=0),"",MAX(H673,ROUNDUP(30*((L673/C673)*(1+H673/30)-1),0)))</f>
        <v/>
      </c>
    </row>
    <row r="674" customFormat="false" ht="15" hidden="false" customHeight="false" outlineLevel="0" collapsed="false">
      <c r="A674" s="51"/>
      <c r="B674" s="54"/>
      <c r="C674" s="20"/>
      <c r="D674" s="20"/>
      <c r="E674" s="20"/>
      <c r="F674" s="20"/>
      <c r="G674" s="20"/>
      <c r="H674" s="11" t="str">
        <f aca="false">IF(B674="","",IFERROR(INDEX(Program!$H$2:$H$75,MATCH(B674,Program!$D$2:$D$75,0)),""))</f>
        <v/>
      </c>
      <c r="I674" s="11" t="str">
        <f aca="false">IF(B674="","",IFERROR(INDEX(Program!$I$2:$I$75,MATCH(B674,Program!$D$2:$D$75,0)),""))</f>
        <v/>
      </c>
      <c r="J674" s="11" t="str">
        <f aca="false">IF(COUNT(D674:G674)=0,"",COUNT(D674:G674))</f>
        <v/>
      </c>
      <c r="K674" s="12" t="str">
        <f aca="false">IF(OR(J674="",I674=""),"",IF(MIN(D674:G674)&gt;=I674,"Add load (smallest step)",IF(MAX(D674:G674)&lt;H674,"Below range: if again, drop 5–10%","Same load, add reps")))</f>
        <v/>
      </c>
      <c r="L674" s="20"/>
      <c r="M674" s="11" t="str">
        <f aca="false">IF(OR(L674="",C674="",H674="",C674=0),"",MAX(H674,ROUNDUP(30*((L674/C674)*(1+H674/30)-1),0)))</f>
        <v/>
      </c>
    </row>
    <row r="675" customFormat="false" ht="15" hidden="false" customHeight="false" outlineLevel="0" collapsed="false">
      <c r="A675" s="51"/>
      <c r="B675" s="54"/>
      <c r="C675" s="20"/>
      <c r="D675" s="20"/>
      <c r="E675" s="20"/>
      <c r="F675" s="20"/>
      <c r="G675" s="20"/>
      <c r="H675" s="11" t="str">
        <f aca="false">IF(B675="","",IFERROR(INDEX(Program!$H$2:$H$75,MATCH(B675,Program!$D$2:$D$75,0)),""))</f>
        <v/>
      </c>
      <c r="I675" s="11" t="str">
        <f aca="false">IF(B675="","",IFERROR(INDEX(Program!$I$2:$I$75,MATCH(B675,Program!$D$2:$D$75,0)),""))</f>
        <v/>
      </c>
      <c r="J675" s="11" t="str">
        <f aca="false">IF(COUNT(D675:G675)=0,"",COUNT(D675:G675))</f>
        <v/>
      </c>
      <c r="K675" s="12" t="str">
        <f aca="false">IF(OR(J675="",I675=""),"",IF(MIN(D675:G675)&gt;=I675,"Add load (smallest step)",IF(MAX(D675:G675)&lt;H675,"Below range: if again, drop 5–10%","Same load, add reps")))</f>
        <v/>
      </c>
      <c r="L675" s="20"/>
      <c r="M675" s="11" t="str">
        <f aca="false">IF(OR(L675="",C675="",H675="",C675=0),"",MAX(H675,ROUNDUP(30*((L675/C675)*(1+H675/30)-1),0)))</f>
        <v/>
      </c>
    </row>
    <row r="676" customFormat="false" ht="15" hidden="false" customHeight="false" outlineLevel="0" collapsed="false">
      <c r="A676" s="51"/>
      <c r="B676" s="54"/>
      <c r="C676" s="20"/>
      <c r="D676" s="20"/>
      <c r="E676" s="20"/>
      <c r="F676" s="20"/>
      <c r="G676" s="20"/>
      <c r="H676" s="11" t="str">
        <f aca="false">IF(B676="","",IFERROR(INDEX(Program!$H$2:$H$75,MATCH(B676,Program!$D$2:$D$75,0)),""))</f>
        <v/>
      </c>
      <c r="I676" s="11" t="str">
        <f aca="false">IF(B676="","",IFERROR(INDEX(Program!$I$2:$I$75,MATCH(B676,Program!$D$2:$D$75,0)),""))</f>
        <v/>
      </c>
      <c r="J676" s="11" t="str">
        <f aca="false">IF(COUNT(D676:G676)=0,"",COUNT(D676:G676))</f>
        <v/>
      </c>
      <c r="K676" s="12" t="str">
        <f aca="false">IF(OR(J676="",I676=""),"",IF(MIN(D676:G676)&gt;=I676,"Add load (smallest step)",IF(MAX(D676:G676)&lt;H676,"Below range: if again, drop 5–10%","Same load, add reps")))</f>
        <v/>
      </c>
      <c r="L676" s="20"/>
      <c r="M676" s="11" t="str">
        <f aca="false">IF(OR(L676="",C676="",H676="",C676=0),"",MAX(H676,ROUNDUP(30*((L676/C676)*(1+H676/30)-1),0)))</f>
        <v/>
      </c>
    </row>
    <row r="677" customFormat="false" ht="15" hidden="false" customHeight="false" outlineLevel="0" collapsed="false">
      <c r="A677" s="51"/>
      <c r="B677" s="54"/>
      <c r="C677" s="20"/>
      <c r="D677" s="20"/>
      <c r="E677" s="20"/>
      <c r="F677" s="20"/>
      <c r="G677" s="20"/>
      <c r="H677" s="11" t="str">
        <f aca="false">IF(B677="","",IFERROR(INDEX(Program!$H$2:$H$75,MATCH(B677,Program!$D$2:$D$75,0)),""))</f>
        <v/>
      </c>
      <c r="I677" s="11" t="str">
        <f aca="false">IF(B677="","",IFERROR(INDEX(Program!$I$2:$I$75,MATCH(B677,Program!$D$2:$D$75,0)),""))</f>
        <v/>
      </c>
      <c r="J677" s="11" t="str">
        <f aca="false">IF(COUNT(D677:G677)=0,"",COUNT(D677:G677))</f>
        <v/>
      </c>
      <c r="K677" s="12" t="str">
        <f aca="false">IF(OR(J677="",I677=""),"",IF(MIN(D677:G677)&gt;=I677,"Add load (smallest step)",IF(MAX(D677:G677)&lt;H677,"Below range: if again, drop 5–10%","Same load, add reps")))</f>
        <v/>
      </c>
      <c r="L677" s="20"/>
      <c r="M677" s="11" t="str">
        <f aca="false">IF(OR(L677="",C677="",H677="",C677=0),"",MAX(H677,ROUNDUP(30*((L677/C677)*(1+H677/30)-1),0)))</f>
        <v/>
      </c>
    </row>
    <row r="678" customFormat="false" ht="15" hidden="false" customHeight="false" outlineLevel="0" collapsed="false">
      <c r="A678" s="51"/>
      <c r="B678" s="54"/>
      <c r="C678" s="20"/>
      <c r="D678" s="20"/>
      <c r="E678" s="20"/>
      <c r="F678" s="20"/>
      <c r="G678" s="20"/>
      <c r="H678" s="11" t="str">
        <f aca="false">IF(B678="","",IFERROR(INDEX(Program!$H$2:$H$75,MATCH(B678,Program!$D$2:$D$75,0)),""))</f>
        <v/>
      </c>
      <c r="I678" s="11" t="str">
        <f aca="false">IF(B678="","",IFERROR(INDEX(Program!$I$2:$I$75,MATCH(B678,Program!$D$2:$D$75,0)),""))</f>
        <v/>
      </c>
      <c r="J678" s="11" t="str">
        <f aca="false">IF(COUNT(D678:G678)=0,"",COUNT(D678:G678))</f>
        <v/>
      </c>
      <c r="K678" s="12" t="str">
        <f aca="false">IF(OR(J678="",I678=""),"",IF(MIN(D678:G678)&gt;=I678,"Add load (smallest step)",IF(MAX(D678:G678)&lt;H678,"Below range: if again, drop 5–10%","Same load, add reps")))</f>
        <v/>
      </c>
      <c r="L678" s="20"/>
      <c r="M678" s="11" t="str">
        <f aca="false">IF(OR(L678="",C678="",H678="",C678=0),"",MAX(H678,ROUNDUP(30*((L678/C678)*(1+H678/30)-1),0)))</f>
        <v/>
      </c>
    </row>
    <row r="679" customFormat="false" ht="15" hidden="false" customHeight="false" outlineLevel="0" collapsed="false">
      <c r="A679" s="51"/>
      <c r="B679" s="54"/>
      <c r="C679" s="20"/>
      <c r="D679" s="20"/>
      <c r="E679" s="20"/>
      <c r="F679" s="20"/>
      <c r="G679" s="20"/>
      <c r="H679" s="11" t="str">
        <f aca="false">IF(B679="","",IFERROR(INDEX(Program!$H$2:$H$75,MATCH(B679,Program!$D$2:$D$75,0)),""))</f>
        <v/>
      </c>
      <c r="I679" s="11" t="str">
        <f aca="false">IF(B679="","",IFERROR(INDEX(Program!$I$2:$I$75,MATCH(B679,Program!$D$2:$D$75,0)),""))</f>
        <v/>
      </c>
      <c r="J679" s="11" t="str">
        <f aca="false">IF(COUNT(D679:G679)=0,"",COUNT(D679:G679))</f>
        <v/>
      </c>
      <c r="K679" s="12" t="str">
        <f aca="false">IF(OR(J679="",I679=""),"",IF(MIN(D679:G679)&gt;=I679,"Add load (smallest step)",IF(MAX(D679:G679)&lt;H679,"Below range: if again, drop 5–10%","Same load, add reps")))</f>
        <v/>
      </c>
      <c r="L679" s="20"/>
      <c r="M679" s="11" t="str">
        <f aca="false">IF(OR(L679="",C679="",H679="",C679=0),"",MAX(H679,ROUNDUP(30*((L679/C679)*(1+H679/30)-1),0)))</f>
        <v/>
      </c>
    </row>
    <row r="680" customFormat="false" ht="15" hidden="false" customHeight="false" outlineLevel="0" collapsed="false">
      <c r="A680" s="51"/>
      <c r="B680" s="54"/>
      <c r="C680" s="20"/>
      <c r="D680" s="20"/>
      <c r="E680" s="20"/>
      <c r="F680" s="20"/>
      <c r="G680" s="20"/>
      <c r="H680" s="11" t="str">
        <f aca="false">IF(B680="","",IFERROR(INDEX(Program!$H$2:$H$75,MATCH(B680,Program!$D$2:$D$75,0)),""))</f>
        <v/>
      </c>
      <c r="I680" s="11" t="str">
        <f aca="false">IF(B680="","",IFERROR(INDEX(Program!$I$2:$I$75,MATCH(B680,Program!$D$2:$D$75,0)),""))</f>
        <v/>
      </c>
      <c r="J680" s="11" t="str">
        <f aca="false">IF(COUNT(D680:G680)=0,"",COUNT(D680:G680))</f>
        <v/>
      </c>
      <c r="K680" s="12" t="str">
        <f aca="false">IF(OR(J680="",I680=""),"",IF(MIN(D680:G680)&gt;=I680,"Add load (smallest step)",IF(MAX(D680:G680)&lt;H680,"Below range: if again, drop 5–10%","Same load, add reps")))</f>
        <v/>
      </c>
      <c r="L680" s="20"/>
      <c r="M680" s="11" t="str">
        <f aca="false">IF(OR(L680="",C680="",H680="",C680=0),"",MAX(H680,ROUNDUP(30*((L680/C680)*(1+H680/30)-1),0)))</f>
        <v/>
      </c>
    </row>
    <row r="681" customFormat="false" ht="15" hidden="false" customHeight="false" outlineLevel="0" collapsed="false">
      <c r="A681" s="51"/>
      <c r="B681" s="54"/>
      <c r="C681" s="20"/>
      <c r="D681" s="20"/>
      <c r="E681" s="20"/>
      <c r="F681" s="20"/>
      <c r="G681" s="20"/>
      <c r="H681" s="11" t="str">
        <f aca="false">IF(B681="","",IFERROR(INDEX(Program!$H$2:$H$75,MATCH(B681,Program!$D$2:$D$75,0)),""))</f>
        <v/>
      </c>
      <c r="I681" s="11" t="str">
        <f aca="false">IF(B681="","",IFERROR(INDEX(Program!$I$2:$I$75,MATCH(B681,Program!$D$2:$D$75,0)),""))</f>
        <v/>
      </c>
      <c r="J681" s="11" t="str">
        <f aca="false">IF(COUNT(D681:G681)=0,"",COUNT(D681:G681))</f>
        <v/>
      </c>
      <c r="K681" s="12" t="str">
        <f aca="false">IF(OR(J681="",I681=""),"",IF(MIN(D681:G681)&gt;=I681,"Add load (smallest step)",IF(MAX(D681:G681)&lt;H681,"Below range: if again, drop 5–10%","Same load, add reps")))</f>
        <v/>
      </c>
      <c r="L681" s="20"/>
      <c r="M681" s="11" t="str">
        <f aca="false">IF(OR(L681="",C681="",H681="",C681=0),"",MAX(H681,ROUNDUP(30*((L681/C681)*(1+H681/30)-1),0)))</f>
        <v/>
      </c>
    </row>
    <row r="682" customFormat="false" ht="15" hidden="false" customHeight="false" outlineLevel="0" collapsed="false">
      <c r="A682" s="51"/>
      <c r="B682" s="54"/>
      <c r="C682" s="20"/>
      <c r="D682" s="20"/>
      <c r="E682" s="20"/>
      <c r="F682" s="20"/>
      <c r="G682" s="20"/>
      <c r="H682" s="11" t="str">
        <f aca="false">IF(B682="","",IFERROR(INDEX(Program!$H$2:$H$75,MATCH(B682,Program!$D$2:$D$75,0)),""))</f>
        <v/>
      </c>
      <c r="I682" s="11" t="str">
        <f aca="false">IF(B682="","",IFERROR(INDEX(Program!$I$2:$I$75,MATCH(B682,Program!$D$2:$D$75,0)),""))</f>
        <v/>
      </c>
      <c r="J682" s="11" t="str">
        <f aca="false">IF(COUNT(D682:G682)=0,"",COUNT(D682:G682))</f>
        <v/>
      </c>
      <c r="K682" s="12" t="str">
        <f aca="false">IF(OR(J682="",I682=""),"",IF(MIN(D682:G682)&gt;=I682,"Add load (smallest step)",IF(MAX(D682:G682)&lt;H682,"Below range: if again, drop 5–10%","Same load, add reps")))</f>
        <v/>
      </c>
      <c r="L682" s="20"/>
      <c r="M682" s="11" t="str">
        <f aca="false">IF(OR(L682="",C682="",H682="",C682=0),"",MAX(H682,ROUNDUP(30*((L682/C682)*(1+H682/30)-1),0)))</f>
        <v/>
      </c>
    </row>
    <row r="683" customFormat="false" ht="15" hidden="false" customHeight="false" outlineLevel="0" collapsed="false">
      <c r="A683" s="51"/>
      <c r="B683" s="54"/>
      <c r="C683" s="20"/>
      <c r="D683" s="20"/>
      <c r="E683" s="20"/>
      <c r="F683" s="20"/>
      <c r="G683" s="20"/>
      <c r="H683" s="11" t="str">
        <f aca="false">IF(B683="","",IFERROR(INDEX(Program!$H$2:$H$75,MATCH(B683,Program!$D$2:$D$75,0)),""))</f>
        <v/>
      </c>
      <c r="I683" s="11" t="str">
        <f aca="false">IF(B683="","",IFERROR(INDEX(Program!$I$2:$I$75,MATCH(B683,Program!$D$2:$D$75,0)),""))</f>
        <v/>
      </c>
      <c r="J683" s="11" t="str">
        <f aca="false">IF(COUNT(D683:G683)=0,"",COUNT(D683:G683))</f>
        <v/>
      </c>
      <c r="K683" s="12" t="str">
        <f aca="false">IF(OR(J683="",I683=""),"",IF(MIN(D683:G683)&gt;=I683,"Add load (smallest step)",IF(MAX(D683:G683)&lt;H683,"Below range: if again, drop 5–10%","Same load, add reps")))</f>
        <v/>
      </c>
      <c r="L683" s="20"/>
      <c r="M683" s="11" t="str">
        <f aca="false">IF(OR(L683="",C683="",H683="",C683=0),"",MAX(H683,ROUNDUP(30*((L683/C683)*(1+H683/30)-1),0)))</f>
        <v/>
      </c>
    </row>
    <row r="684" customFormat="false" ht="15" hidden="false" customHeight="false" outlineLevel="0" collapsed="false">
      <c r="A684" s="51"/>
      <c r="B684" s="54"/>
      <c r="C684" s="20"/>
      <c r="D684" s="20"/>
      <c r="E684" s="20"/>
      <c r="F684" s="20"/>
      <c r="G684" s="20"/>
      <c r="H684" s="11" t="str">
        <f aca="false">IF(B684="","",IFERROR(INDEX(Program!$H$2:$H$75,MATCH(B684,Program!$D$2:$D$75,0)),""))</f>
        <v/>
      </c>
      <c r="I684" s="11" t="str">
        <f aca="false">IF(B684="","",IFERROR(INDEX(Program!$I$2:$I$75,MATCH(B684,Program!$D$2:$D$75,0)),""))</f>
        <v/>
      </c>
      <c r="J684" s="11" t="str">
        <f aca="false">IF(COUNT(D684:G684)=0,"",COUNT(D684:G684))</f>
        <v/>
      </c>
      <c r="K684" s="12" t="str">
        <f aca="false">IF(OR(J684="",I684=""),"",IF(MIN(D684:G684)&gt;=I684,"Add load (smallest step)",IF(MAX(D684:G684)&lt;H684,"Below range: if again, drop 5–10%","Same load, add reps")))</f>
        <v/>
      </c>
      <c r="L684" s="20"/>
      <c r="M684" s="11" t="str">
        <f aca="false">IF(OR(L684="",C684="",H684="",C684=0),"",MAX(H684,ROUNDUP(30*((L684/C684)*(1+H684/30)-1),0)))</f>
        <v/>
      </c>
    </row>
    <row r="685" customFormat="false" ht="15" hidden="false" customHeight="false" outlineLevel="0" collapsed="false">
      <c r="A685" s="51"/>
      <c r="B685" s="54"/>
      <c r="C685" s="20"/>
      <c r="D685" s="20"/>
      <c r="E685" s="20"/>
      <c r="F685" s="20"/>
      <c r="G685" s="20"/>
      <c r="H685" s="11" t="str">
        <f aca="false">IF(B685="","",IFERROR(INDEX(Program!$H$2:$H$75,MATCH(B685,Program!$D$2:$D$75,0)),""))</f>
        <v/>
      </c>
      <c r="I685" s="11" t="str">
        <f aca="false">IF(B685="","",IFERROR(INDEX(Program!$I$2:$I$75,MATCH(B685,Program!$D$2:$D$75,0)),""))</f>
        <v/>
      </c>
      <c r="J685" s="11" t="str">
        <f aca="false">IF(COUNT(D685:G685)=0,"",COUNT(D685:G685))</f>
        <v/>
      </c>
      <c r="K685" s="12" t="str">
        <f aca="false">IF(OR(J685="",I685=""),"",IF(MIN(D685:G685)&gt;=I685,"Add load (smallest step)",IF(MAX(D685:G685)&lt;H685,"Below range: if again, drop 5–10%","Same load, add reps")))</f>
        <v/>
      </c>
      <c r="L685" s="20"/>
      <c r="M685" s="11" t="str">
        <f aca="false">IF(OR(L685="",C685="",H685="",C685=0),"",MAX(H685,ROUNDUP(30*((L685/C685)*(1+H685/30)-1),0)))</f>
        <v/>
      </c>
    </row>
    <row r="686" customFormat="false" ht="15" hidden="false" customHeight="false" outlineLevel="0" collapsed="false">
      <c r="A686" s="51"/>
      <c r="B686" s="54"/>
      <c r="C686" s="20"/>
      <c r="D686" s="20"/>
      <c r="E686" s="20"/>
      <c r="F686" s="20"/>
      <c r="G686" s="20"/>
      <c r="H686" s="11" t="str">
        <f aca="false">IF(B686="","",IFERROR(INDEX(Program!$H$2:$H$75,MATCH(B686,Program!$D$2:$D$75,0)),""))</f>
        <v/>
      </c>
      <c r="I686" s="11" t="str">
        <f aca="false">IF(B686="","",IFERROR(INDEX(Program!$I$2:$I$75,MATCH(B686,Program!$D$2:$D$75,0)),""))</f>
        <v/>
      </c>
      <c r="J686" s="11" t="str">
        <f aca="false">IF(COUNT(D686:G686)=0,"",COUNT(D686:G686))</f>
        <v/>
      </c>
      <c r="K686" s="12" t="str">
        <f aca="false">IF(OR(J686="",I686=""),"",IF(MIN(D686:G686)&gt;=I686,"Add load (smallest step)",IF(MAX(D686:G686)&lt;H686,"Below range: if again, drop 5–10%","Same load, add reps")))</f>
        <v/>
      </c>
      <c r="L686" s="20"/>
      <c r="M686" s="11" t="str">
        <f aca="false">IF(OR(L686="",C686="",H686="",C686=0),"",MAX(H686,ROUNDUP(30*((L686/C686)*(1+H686/30)-1),0)))</f>
        <v/>
      </c>
    </row>
    <row r="687" customFormat="false" ht="15" hidden="false" customHeight="false" outlineLevel="0" collapsed="false">
      <c r="A687" s="51"/>
      <c r="B687" s="54"/>
      <c r="C687" s="20"/>
      <c r="D687" s="20"/>
      <c r="E687" s="20"/>
      <c r="F687" s="20"/>
      <c r="G687" s="20"/>
      <c r="H687" s="11" t="str">
        <f aca="false">IF(B687="","",IFERROR(INDEX(Program!$H$2:$H$75,MATCH(B687,Program!$D$2:$D$75,0)),""))</f>
        <v/>
      </c>
      <c r="I687" s="11" t="str">
        <f aca="false">IF(B687="","",IFERROR(INDEX(Program!$I$2:$I$75,MATCH(B687,Program!$D$2:$D$75,0)),""))</f>
        <v/>
      </c>
      <c r="J687" s="11" t="str">
        <f aca="false">IF(COUNT(D687:G687)=0,"",COUNT(D687:G687))</f>
        <v/>
      </c>
      <c r="K687" s="12" t="str">
        <f aca="false">IF(OR(J687="",I687=""),"",IF(MIN(D687:G687)&gt;=I687,"Add load (smallest step)",IF(MAX(D687:G687)&lt;H687,"Below range: if again, drop 5–10%","Same load, add reps")))</f>
        <v/>
      </c>
      <c r="L687" s="20"/>
      <c r="M687" s="11" t="str">
        <f aca="false">IF(OR(L687="",C687="",H687="",C687=0),"",MAX(H687,ROUNDUP(30*((L687/C687)*(1+H687/30)-1),0)))</f>
        <v/>
      </c>
    </row>
    <row r="688" customFormat="false" ht="15" hidden="false" customHeight="false" outlineLevel="0" collapsed="false">
      <c r="A688" s="51"/>
      <c r="B688" s="54"/>
      <c r="C688" s="20"/>
      <c r="D688" s="20"/>
      <c r="E688" s="20"/>
      <c r="F688" s="20"/>
      <c r="G688" s="20"/>
      <c r="H688" s="11" t="str">
        <f aca="false">IF(B688="","",IFERROR(INDEX(Program!$H$2:$H$75,MATCH(B688,Program!$D$2:$D$75,0)),""))</f>
        <v/>
      </c>
      <c r="I688" s="11" t="str">
        <f aca="false">IF(B688="","",IFERROR(INDEX(Program!$I$2:$I$75,MATCH(B688,Program!$D$2:$D$75,0)),""))</f>
        <v/>
      </c>
      <c r="J688" s="11" t="str">
        <f aca="false">IF(COUNT(D688:G688)=0,"",COUNT(D688:G688))</f>
        <v/>
      </c>
      <c r="K688" s="12" t="str">
        <f aca="false">IF(OR(J688="",I688=""),"",IF(MIN(D688:G688)&gt;=I688,"Add load (smallest step)",IF(MAX(D688:G688)&lt;H688,"Below range: if again, drop 5–10%","Same load, add reps")))</f>
        <v/>
      </c>
      <c r="L688" s="20"/>
      <c r="M688" s="11" t="str">
        <f aca="false">IF(OR(L688="",C688="",H688="",C688=0),"",MAX(H688,ROUNDUP(30*((L688/C688)*(1+H688/30)-1),0)))</f>
        <v/>
      </c>
    </row>
    <row r="689" customFormat="false" ht="15" hidden="false" customHeight="false" outlineLevel="0" collapsed="false">
      <c r="A689" s="51"/>
      <c r="B689" s="54"/>
      <c r="C689" s="20"/>
      <c r="D689" s="20"/>
      <c r="E689" s="20"/>
      <c r="F689" s="20"/>
      <c r="G689" s="20"/>
      <c r="H689" s="11" t="str">
        <f aca="false">IF(B689="","",IFERROR(INDEX(Program!$H$2:$H$75,MATCH(B689,Program!$D$2:$D$75,0)),""))</f>
        <v/>
      </c>
      <c r="I689" s="11" t="str">
        <f aca="false">IF(B689="","",IFERROR(INDEX(Program!$I$2:$I$75,MATCH(B689,Program!$D$2:$D$75,0)),""))</f>
        <v/>
      </c>
      <c r="J689" s="11" t="str">
        <f aca="false">IF(COUNT(D689:G689)=0,"",COUNT(D689:G689))</f>
        <v/>
      </c>
      <c r="K689" s="12" t="str">
        <f aca="false">IF(OR(J689="",I689=""),"",IF(MIN(D689:G689)&gt;=I689,"Add load (smallest step)",IF(MAX(D689:G689)&lt;H689,"Below range: if again, drop 5–10%","Same load, add reps")))</f>
        <v/>
      </c>
      <c r="L689" s="20"/>
      <c r="M689" s="11" t="str">
        <f aca="false">IF(OR(L689="",C689="",H689="",C689=0),"",MAX(H689,ROUNDUP(30*((L689/C689)*(1+H689/30)-1),0)))</f>
        <v/>
      </c>
    </row>
    <row r="690" customFormat="false" ht="15" hidden="false" customHeight="false" outlineLevel="0" collapsed="false">
      <c r="A690" s="51"/>
      <c r="B690" s="54"/>
      <c r="C690" s="20"/>
      <c r="D690" s="20"/>
      <c r="E690" s="20"/>
      <c r="F690" s="20"/>
      <c r="G690" s="20"/>
      <c r="H690" s="11" t="str">
        <f aca="false">IF(B690="","",IFERROR(INDEX(Program!$H$2:$H$75,MATCH(B690,Program!$D$2:$D$75,0)),""))</f>
        <v/>
      </c>
      <c r="I690" s="11" t="str">
        <f aca="false">IF(B690="","",IFERROR(INDEX(Program!$I$2:$I$75,MATCH(B690,Program!$D$2:$D$75,0)),""))</f>
        <v/>
      </c>
      <c r="J690" s="11" t="str">
        <f aca="false">IF(COUNT(D690:G690)=0,"",COUNT(D690:G690))</f>
        <v/>
      </c>
      <c r="K690" s="12" t="str">
        <f aca="false">IF(OR(J690="",I690=""),"",IF(MIN(D690:G690)&gt;=I690,"Add load (smallest step)",IF(MAX(D690:G690)&lt;H690,"Below range: if again, drop 5–10%","Same load, add reps")))</f>
        <v/>
      </c>
      <c r="L690" s="20"/>
      <c r="M690" s="11" t="str">
        <f aca="false">IF(OR(L690="",C690="",H690="",C690=0),"",MAX(H690,ROUNDUP(30*((L690/C690)*(1+H690/30)-1),0)))</f>
        <v/>
      </c>
    </row>
    <row r="691" customFormat="false" ht="15" hidden="false" customHeight="false" outlineLevel="0" collapsed="false">
      <c r="A691" s="51"/>
      <c r="B691" s="54"/>
      <c r="C691" s="20"/>
      <c r="D691" s="20"/>
      <c r="E691" s="20"/>
      <c r="F691" s="20"/>
      <c r="G691" s="20"/>
      <c r="H691" s="11" t="str">
        <f aca="false">IF(B691="","",IFERROR(INDEX(Program!$H$2:$H$75,MATCH(B691,Program!$D$2:$D$75,0)),""))</f>
        <v/>
      </c>
      <c r="I691" s="11" t="str">
        <f aca="false">IF(B691="","",IFERROR(INDEX(Program!$I$2:$I$75,MATCH(B691,Program!$D$2:$D$75,0)),""))</f>
        <v/>
      </c>
      <c r="J691" s="11" t="str">
        <f aca="false">IF(COUNT(D691:G691)=0,"",COUNT(D691:G691))</f>
        <v/>
      </c>
      <c r="K691" s="12" t="str">
        <f aca="false">IF(OR(J691="",I691=""),"",IF(MIN(D691:G691)&gt;=I691,"Add load (smallest step)",IF(MAX(D691:G691)&lt;H691,"Below range: if again, drop 5–10%","Same load, add reps")))</f>
        <v/>
      </c>
      <c r="L691" s="20"/>
      <c r="M691" s="11" t="str">
        <f aca="false">IF(OR(L691="",C691="",H691="",C691=0),"",MAX(H691,ROUNDUP(30*((L691/C691)*(1+H691/30)-1),0)))</f>
        <v/>
      </c>
    </row>
    <row r="692" customFormat="false" ht="15" hidden="false" customHeight="false" outlineLevel="0" collapsed="false">
      <c r="A692" s="51"/>
      <c r="B692" s="54"/>
      <c r="C692" s="20"/>
      <c r="D692" s="20"/>
      <c r="E692" s="20"/>
      <c r="F692" s="20"/>
      <c r="G692" s="20"/>
      <c r="H692" s="11" t="str">
        <f aca="false">IF(B692="","",IFERROR(INDEX(Program!$H$2:$H$75,MATCH(B692,Program!$D$2:$D$75,0)),""))</f>
        <v/>
      </c>
      <c r="I692" s="11" t="str">
        <f aca="false">IF(B692="","",IFERROR(INDEX(Program!$I$2:$I$75,MATCH(B692,Program!$D$2:$D$75,0)),""))</f>
        <v/>
      </c>
      <c r="J692" s="11" t="str">
        <f aca="false">IF(COUNT(D692:G692)=0,"",COUNT(D692:G692))</f>
        <v/>
      </c>
      <c r="K692" s="12" t="str">
        <f aca="false">IF(OR(J692="",I692=""),"",IF(MIN(D692:G692)&gt;=I692,"Add load (smallest step)",IF(MAX(D692:G692)&lt;H692,"Below range: if again, drop 5–10%","Same load, add reps")))</f>
        <v/>
      </c>
      <c r="L692" s="20"/>
      <c r="M692" s="11" t="str">
        <f aca="false">IF(OR(L692="",C692="",H692="",C692=0),"",MAX(H692,ROUNDUP(30*((L692/C692)*(1+H692/30)-1),0)))</f>
        <v/>
      </c>
    </row>
    <row r="693" customFormat="false" ht="15" hidden="false" customHeight="false" outlineLevel="0" collapsed="false">
      <c r="A693" s="51"/>
      <c r="B693" s="54"/>
      <c r="C693" s="20"/>
      <c r="D693" s="20"/>
      <c r="E693" s="20"/>
      <c r="F693" s="20"/>
      <c r="G693" s="20"/>
      <c r="H693" s="11" t="str">
        <f aca="false">IF(B693="","",IFERROR(INDEX(Program!$H$2:$H$75,MATCH(B693,Program!$D$2:$D$75,0)),""))</f>
        <v/>
      </c>
      <c r="I693" s="11" t="str">
        <f aca="false">IF(B693="","",IFERROR(INDEX(Program!$I$2:$I$75,MATCH(B693,Program!$D$2:$D$75,0)),""))</f>
        <v/>
      </c>
      <c r="J693" s="11" t="str">
        <f aca="false">IF(COUNT(D693:G693)=0,"",COUNT(D693:G693))</f>
        <v/>
      </c>
      <c r="K693" s="12" t="str">
        <f aca="false">IF(OR(J693="",I693=""),"",IF(MIN(D693:G693)&gt;=I693,"Add load (smallest step)",IF(MAX(D693:G693)&lt;H693,"Below range: if again, drop 5–10%","Same load, add reps")))</f>
        <v/>
      </c>
      <c r="L693" s="20"/>
      <c r="M693" s="11" t="str">
        <f aca="false">IF(OR(L693="",C693="",H693="",C693=0),"",MAX(H693,ROUNDUP(30*((L693/C693)*(1+H693/30)-1),0)))</f>
        <v/>
      </c>
    </row>
    <row r="694" customFormat="false" ht="15" hidden="false" customHeight="false" outlineLevel="0" collapsed="false">
      <c r="A694" s="51"/>
      <c r="B694" s="54"/>
      <c r="C694" s="20"/>
      <c r="D694" s="20"/>
      <c r="E694" s="20"/>
      <c r="F694" s="20"/>
      <c r="G694" s="20"/>
      <c r="H694" s="11" t="str">
        <f aca="false">IF(B694="","",IFERROR(INDEX(Program!$H$2:$H$75,MATCH(B694,Program!$D$2:$D$75,0)),""))</f>
        <v/>
      </c>
      <c r="I694" s="11" t="str">
        <f aca="false">IF(B694="","",IFERROR(INDEX(Program!$I$2:$I$75,MATCH(B694,Program!$D$2:$D$75,0)),""))</f>
        <v/>
      </c>
      <c r="J694" s="11" t="str">
        <f aca="false">IF(COUNT(D694:G694)=0,"",COUNT(D694:G694))</f>
        <v/>
      </c>
      <c r="K694" s="12" t="str">
        <f aca="false">IF(OR(J694="",I694=""),"",IF(MIN(D694:G694)&gt;=I694,"Add load (smallest step)",IF(MAX(D694:G694)&lt;H694,"Below range: if again, drop 5–10%","Same load, add reps")))</f>
        <v/>
      </c>
      <c r="L694" s="20"/>
      <c r="M694" s="11" t="str">
        <f aca="false">IF(OR(L694="",C694="",H694="",C694=0),"",MAX(H694,ROUNDUP(30*((L694/C694)*(1+H694/30)-1),0)))</f>
        <v/>
      </c>
    </row>
    <row r="695" customFormat="false" ht="15" hidden="false" customHeight="false" outlineLevel="0" collapsed="false">
      <c r="A695" s="51"/>
      <c r="B695" s="54"/>
      <c r="C695" s="20"/>
      <c r="D695" s="20"/>
      <c r="E695" s="20"/>
      <c r="F695" s="20"/>
      <c r="G695" s="20"/>
      <c r="H695" s="11" t="str">
        <f aca="false">IF(B695="","",IFERROR(INDEX(Program!$H$2:$H$75,MATCH(B695,Program!$D$2:$D$75,0)),""))</f>
        <v/>
      </c>
      <c r="I695" s="11" t="str">
        <f aca="false">IF(B695="","",IFERROR(INDEX(Program!$I$2:$I$75,MATCH(B695,Program!$D$2:$D$75,0)),""))</f>
        <v/>
      </c>
      <c r="J695" s="11" t="str">
        <f aca="false">IF(COUNT(D695:G695)=0,"",COUNT(D695:G695))</f>
        <v/>
      </c>
      <c r="K695" s="12" t="str">
        <f aca="false">IF(OR(J695="",I695=""),"",IF(MIN(D695:G695)&gt;=I695,"Add load (smallest step)",IF(MAX(D695:G695)&lt;H695,"Below range: if again, drop 5–10%","Same load, add reps")))</f>
        <v/>
      </c>
      <c r="L695" s="20"/>
      <c r="M695" s="11" t="str">
        <f aca="false">IF(OR(L695="",C695="",H695="",C695=0),"",MAX(H695,ROUNDUP(30*((L695/C695)*(1+H695/30)-1),0)))</f>
        <v/>
      </c>
    </row>
    <row r="696" customFormat="false" ht="15" hidden="false" customHeight="false" outlineLevel="0" collapsed="false">
      <c r="A696" s="51"/>
      <c r="B696" s="54"/>
      <c r="C696" s="20"/>
      <c r="D696" s="20"/>
      <c r="E696" s="20"/>
      <c r="F696" s="20"/>
      <c r="G696" s="20"/>
      <c r="H696" s="11" t="str">
        <f aca="false">IF(B696="","",IFERROR(INDEX(Program!$H$2:$H$75,MATCH(B696,Program!$D$2:$D$75,0)),""))</f>
        <v/>
      </c>
      <c r="I696" s="11" t="str">
        <f aca="false">IF(B696="","",IFERROR(INDEX(Program!$I$2:$I$75,MATCH(B696,Program!$D$2:$D$75,0)),""))</f>
        <v/>
      </c>
      <c r="J696" s="11" t="str">
        <f aca="false">IF(COUNT(D696:G696)=0,"",COUNT(D696:G696))</f>
        <v/>
      </c>
      <c r="K696" s="12" t="str">
        <f aca="false">IF(OR(J696="",I696=""),"",IF(MIN(D696:G696)&gt;=I696,"Add load (smallest step)",IF(MAX(D696:G696)&lt;H696,"Below range: if again, drop 5–10%","Same load, add reps")))</f>
        <v/>
      </c>
      <c r="L696" s="20"/>
      <c r="M696" s="11" t="str">
        <f aca="false">IF(OR(L696="",C696="",H696="",C696=0),"",MAX(H696,ROUNDUP(30*((L696/C696)*(1+H696/30)-1),0)))</f>
        <v/>
      </c>
    </row>
    <row r="697" customFormat="false" ht="15" hidden="false" customHeight="false" outlineLevel="0" collapsed="false">
      <c r="A697" s="51"/>
      <c r="B697" s="54"/>
      <c r="C697" s="20"/>
      <c r="D697" s="20"/>
      <c r="E697" s="20"/>
      <c r="F697" s="20"/>
      <c r="G697" s="20"/>
      <c r="H697" s="11" t="str">
        <f aca="false">IF(B697="","",IFERROR(INDEX(Program!$H$2:$H$75,MATCH(B697,Program!$D$2:$D$75,0)),""))</f>
        <v/>
      </c>
      <c r="I697" s="11" t="str">
        <f aca="false">IF(B697="","",IFERROR(INDEX(Program!$I$2:$I$75,MATCH(B697,Program!$D$2:$D$75,0)),""))</f>
        <v/>
      </c>
      <c r="J697" s="11" t="str">
        <f aca="false">IF(COUNT(D697:G697)=0,"",COUNT(D697:G697))</f>
        <v/>
      </c>
      <c r="K697" s="12" t="str">
        <f aca="false">IF(OR(J697="",I697=""),"",IF(MIN(D697:G697)&gt;=I697,"Add load (smallest step)",IF(MAX(D697:G697)&lt;H697,"Below range: if again, drop 5–10%","Same load, add reps")))</f>
        <v/>
      </c>
      <c r="L697" s="20"/>
      <c r="M697" s="11" t="str">
        <f aca="false">IF(OR(L697="",C697="",H697="",C697=0),"",MAX(H697,ROUNDUP(30*((L697/C697)*(1+H697/30)-1),0)))</f>
        <v/>
      </c>
    </row>
    <row r="698" customFormat="false" ht="15" hidden="false" customHeight="false" outlineLevel="0" collapsed="false">
      <c r="A698" s="51"/>
      <c r="B698" s="54"/>
      <c r="C698" s="20"/>
      <c r="D698" s="20"/>
      <c r="E698" s="20"/>
      <c r="F698" s="20"/>
      <c r="G698" s="20"/>
      <c r="H698" s="11" t="str">
        <f aca="false">IF(B698="","",IFERROR(INDEX(Program!$H$2:$H$75,MATCH(B698,Program!$D$2:$D$75,0)),""))</f>
        <v/>
      </c>
      <c r="I698" s="11" t="str">
        <f aca="false">IF(B698="","",IFERROR(INDEX(Program!$I$2:$I$75,MATCH(B698,Program!$D$2:$D$75,0)),""))</f>
        <v/>
      </c>
      <c r="J698" s="11" t="str">
        <f aca="false">IF(COUNT(D698:G698)=0,"",COUNT(D698:G698))</f>
        <v/>
      </c>
      <c r="K698" s="12" t="str">
        <f aca="false">IF(OR(J698="",I698=""),"",IF(MIN(D698:G698)&gt;=I698,"Add load (smallest step)",IF(MAX(D698:G698)&lt;H698,"Below range: if again, drop 5–10%","Same load, add reps")))</f>
        <v/>
      </c>
      <c r="L698" s="20"/>
      <c r="M698" s="11" t="str">
        <f aca="false">IF(OR(L698="",C698="",H698="",C698=0),"",MAX(H698,ROUNDUP(30*((L698/C698)*(1+H698/30)-1),0)))</f>
        <v/>
      </c>
    </row>
    <row r="699" customFormat="false" ht="15" hidden="false" customHeight="false" outlineLevel="0" collapsed="false">
      <c r="A699" s="51"/>
      <c r="B699" s="54"/>
      <c r="C699" s="20"/>
      <c r="D699" s="20"/>
      <c r="E699" s="20"/>
      <c r="F699" s="20"/>
      <c r="G699" s="20"/>
      <c r="H699" s="11" t="str">
        <f aca="false">IF(B699="","",IFERROR(INDEX(Program!$H$2:$H$75,MATCH(B699,Program!$D$2:$D$75,0)),""))</f>
        <v/>
      </c>
      <c r="I699" s="11" t="str">
        <f aca="false">IF(B699="","",IFERROR(INDEX(Program!$I$2:$I$75,MATCH(B699,Program!$D$2:$D$75,0)),""))</f>
        <v/>
      </c>
      <c r="J699" s="11" t="str">
        <f aca="false">IF(COUNT(D699:G699)=0,"",COUNT(D699:G699))</f>
        <v/>
      </c>
      <c r="K699" s="12" t="str">
        <f aca="false">IF(OR(J699="",I699=""),"",IF(MIN(D699:G699)&gt;=I699,"Add load (smallest step)",IF(MAX(D699:G699)&lt;H699,"Below range: if again, drop 5–10%","Same load, add reps")))</f>
        <v/>
      </c>
      <c r="L699" s="20"/>
      <c r="M699" s="11" t="str">
        <f aca="false">IF(OR(L699="",C699="",H699="",C699=0),"",MAX(H699,ROUNDUP(30*((L699/C699)*(1+H699/30)-1),0)))</f>
        <v/>
      </c>
    </row>
    <row r="700" customFormat="false" ht="15" hidden="false" customHeight="false" outlineLevel="0" collapsed="false">
      <c r="A700" s="51"/>
      <c r="B700" s="54"/>
      <c r="C700" s="20"/>
      <c r="D700" s="20"/>
      <c r="E700" s="20"/>
      <c r="F700" s="20"/>
      <c r="G700" s="20"/>
      <c r="H700" s="11" t="str">
        <f aca="false">IF(B700="","",IFERROR(INDEX(Program!$H$2:$H$75,MATCH(B700,Program!$D$2:$D$75,0)),""))</f>
        <v/>
      </c>
      <c r="I700" s="11" t="str">
        <f aca="false">IF(B700="","",IFERROR(INDEX(Program!$I$2:$I$75,MATCH(B700,Program!$D$2:$D$75,0)),""))</f>
        <v/>
      </c>
      <c r="J700" s="11" t="str">
        <f aca="false">IF(COUNT(D700:G700)=0,"",COUNT(D700:G700))</f>
        <v/>
      </c>
      <c r="K700" s="12" t="str">
        <f aca="false">IF(OR(J700="",I700=""),"",IF(MIN(D700:G700)&gt;=I700,"Add load (smallest step)",IF(MAX(D700:G700)&lt;H700,"Below range: if again, drop 5–10%","Same load, add reps")))</f>
        <v/>
      </c>
      <c r="L700" s="20"/>
      <c r="M700" s="11" t="str">
        <f aca="false">IF(OR(L700="",C700="",H700="",C700=0),"",MAX(H700,ROUNDUP(30*((L700/C700)*(1+H700/30)-1),0)))</f>
        <v/>
      </c>
    </row>
    <row r="701" customFormat="false" ht="15" hidden="false" customHeight="false" outlineLevel="0" collapsed="false">
      <c r="A701" s="51"/>
      <c r="B701" s="54"/>
      <c r="C701" s="20"/>
      <c r="D701" s="20"/>
      <c r="E701" s="20"/>
      <c r="F701" s="20"/>
      <c r="G701" s="20"/>
      <c r="H701" s="11" t="str">
        <f aca="false">IF(B701="","",IFERROR(INDEX(Program!$H$2:$H$75,MATCH(B701,Program!$D$2:$D$75,0)),""))</f>
        <v/>
      </c>
      <c r="I701" s="11" t="str">
        <f aca="false">IF(B701="","",IFERROR(INDEX(Program!$I$2:$I$75,MATCH(B701,Program!$D$2:$D$75,0)),""))</f>
        <v/>
      </c>
      <c r="J701" s="11" t="str">
        <f aca="false">IF(COUNT(D701:G701)=0,"",COUNT(D701:G701))</f>
        <v/>
      </c>
      <c r="K701" s="12" t="str">
        <f aca="false">IF(OR(J701="",I701=""),"",IF(MIN(D701:G701)&gt;=I701,"Add load (smallest step)",IF(MAX(D701:G701)&lt;H701,"Below range: if again, drop 5–10%","Same load, add reps")))</f>
        <v/>
      </c>
      <c r="L701" s="20"/>
      <c r="M701" s="11" t="str">
        <f aca="false">IF(OR(L701="",C701="",H701="",C701=0),"",MAX(H701,ROUNDUP(30*((L701/C701)*(1+H701/30)-1),0)))</f>
        <v/>
      </c>
    </row>
    <row r="702" customFormat="false" ht="15" hidden="false" customHeight="false" outlineLevel="0" collapsed="false">
      <c r="A702" s="51"/>
      <c r="B702" s="54"/>
      <c r="C702" s="20"/>
      <c r="D702" s="20"/>
      <c r="E702" s="20"/>
      <c r="F702" s="20"/>
      <c r="G702" s="20"/>
      <c r="H702" s="11" t="str">
        <f aca="false">IF(B702="","",IFERROR(INDEX(Program!$H$2:$H$75,MATCH(B702,Program!$D$2:$D$75,0)),""))</f>
        <v/>
      </c>
      <c r="I702" s="11" t="str">
        <f aca="false">IF(B702="","",IFERROR(INDEX(Program!$I$2:$I$75,MATCH(B702,Program!$D$2:$D$75,0)),""))</f>
        <v/>
      </c>
      <c r="J702" s="11" t="str">
        <f aca="false">IF(COUNT(D702:G702)=0,"",COUNT(D702:G702))</f>
        <v/>
      </c>
      <c r="K702" s="12" t="str">
        <f aca="false">IF(OR(J702="",I702=""),"",IF(MIN(D702:G702)&gt;=I702,"Add load (smallest step)",IF(MAX(D702:G702)&lt;H702,"Below range: if again, drop 5–10%","Same load, add reps")))</f>
        <v/>
      </c>
      <c r="L702" s="20"/>
      <c r="M702" s="11" t="str">
        <f aca="false">IF(OR(L702="",C702="",H702="",C702=0),"",MAX(H702,ROUNDUP(30*((L702/C702)*(1+H702/30)-1),0)))</f>
        <v/>
      </c>
    </row>
    <row r="703" customFormat="false" ht="15" hidden="false" customHeight="false" outlineLevel="0" collapsed="false">
      <c r="A703" s="51"/>
      <c r="B703" s="54"/>
      <c r="C703" s="20"/>
      <c r="D703" s="20"/>
      <c r="E703" s="20"/>
      <c r="F703" s="20"/>
      <c r="G703" s="20"/>
      <c r="H703" s="11" t="str">
        <f aca="false">IF(B703="","",IFERROR(INDEX(Program!$H$2:$H$75,MATCH(B703,Program!$D$2:$D$75,0)),""))</f>
        <v/>
      </c>
      <c r="I703" s="11" t="str">
        <f aca="false">IF(B703="","",IFERROR(INDEX(Program!$I$2:$I$75,MATCH(B703,Program!$D$2:$D$75,0)),""))</f>
        <v/>
      </c>
      <c r="J703" s="11" t="str">
        <f aca="false">IF(COUNT(D703:G703)=0,"",COUNT(D703:G703))</f>
        <v/>
      </c>
      <c r="K703" s="12" t="str">
        <f aca="false">IF(OR(J703="",I703=""),"",IF(MIN(D703:G703)&gt;=I703,"Add load (smallest step)",IF(MAX(D703:G703)&lt;H703,"Below range: if again, drop 5–10%","Same load, add reps")))</f>
        <v/>
      </c>
      <c r="L703" s="20"/>
      <c r="M703" s="11" t="str">
        <f aca="false">IF(OR(L703="",C703="",H703="",C703=0),"",MAX(H703,ROUNDUP(30*((L703/C703)*(1+H703/30)-1),0)))</f>
        <v/>
      </c>
    </row>
    <row r="704" customFormat="false" ht="15" hidden="false" customHeight="false" outlineLevel="0" collapsed="false">
      <c r="A704" s="51"/>
      <c r="B704" s="54"/>
      <c r="C704" s="20"/>
      <c r="D704" s="20"/>
      <c r="E704" s="20"/>
      <c r="F704" s="20"/>
      <c r="G704" s="20"/>
      <c r="H704" s="11" t="str">
        <f aca="false">IF(B704="","",IFERROR(INDEX(Program!$H$2:$H$75,MATCH(B704,Program!$D$2:$D$75,0)),""))</f>
        <v/>
      </c>
      <c r="I704" s="11" t="str">
        <f aca="false">IF(B704="","",IFERROR(INDEX(Program!$I$2:$I$75,MATCH(B704,Program!$D$2:$D$75,0)),""))</f>
        <v/>
      </c>
      <c r="J704" s="11" t="str">
        <f aca="false">IF(COUNT(D704:G704)=0,"",COUNT(D704:G704))</f>
        <v/>
      </c>
      <c r="K704" s="12" t="str">
        <f aca="false">IF(OR(J704="",I704=""),"",IF(MIN(D704:G704)&gt;=I704,"Add load (smallest step)",IF(MAX(D704:G704)&lt;H704,"Below range: if again, drop 5–10%","Same load, add reps")))</f>
        <v/>
      </c>
      <c r="L704" s="20"/>
      <c r="M704" s="11" t="str">
        <f aca="false">IF(OR(L704="",C704="",H704="",C704=0),"",MAX(H704,ROUNDUP(30*((L704/C704)*(1+H704/30)-1),0)))</f>
        <v/>
      </c>
    </row>
    <row r="705" customFormat="false" ht="15" hidden="false" customHeight="false" outlineLevel="0" collapsed="false">
      <c r="A705" s="51"/>
      <c r="B705" s="54"/>
      <c r="C705" s="20"/>
      <c r="D705" s="20"/>
      <c r="E705" s="20"/>
      <c r="F705" s="20"/>
      <c r="G705" s="20"/>
      <c r="H705" s="11" t="str">
        <f aca="false">IF(B705="","",IFERROR(INDEX(Program!$H$2:$H$75,MATCH(B705,Program!$D$2:$D$75,0)),""))</f>
        <v/>
      </c>
      <c r="I705" s="11" t="str">
        <f aca="false">IF(B705="","",IFERROR(INDEX(Program!$I$2:$I$75,MATCH(B705,Program!$D$2:$D$75,0)),""))</f>
        <v/>
      </c>
      <c r="J705" s="11" t="str">
        <f aca="false">IF(COUNT(D705:G705)=0,"",COUNT(D705:G705))</f>
        <v/>
      </c>
      <c r="K705" s="12" t="str">
        <f aca="false">IF(OR(J705="",I705=""),"",IF(MIN(D705:G705)&gt;=I705,"Add load (smallest step)",IF(MAX(D705:G705)&lt;H705,"Below range: if again, drop 5–10%","Same load, add reps")))</f>
        <v/>
      </c>
      <c r="L705" s="20"/>
      <c r="M705" s="11" t="str">
        <f aca="false">IF(OR(L705="",C705="",H705="",C705=0),"",MAX(H705,ROUNDUP(30*((L705/C705)*(1+H705/30)-1),0)))</f>
        <v/>
      </c>
    </row>
    <row r="706" customFormat="false" ht="15" hidden="false" customHeight="false" outlineLevel="0" collapsed="false">
      <c r="A706" s="51"/>
      <c r="B706" s="54"/>
      <c r="C706" s="20"/>
      <c r="D706" s="20"/>
      <c r="E706" s="20"/>
      <c r="F706" s="20"/>
      <c r="G706" s="20"/>
      <c r="H706" s="11" t="str">
        <f aca="false">IF(B706="","",IFERROR(INDEX(Program!$H$2:$H$75,MATCH(B706,Program!$D$2:$D$75,0)),""))</f>
        <v/>
      </c>
      <c r="I706" s="11" t="str">
        <f aca="false">IF(B706="","",IFERROR(INDEX(Program!$I$2:$I$75,MATCH(B706,Program!$D$2:$D$75,0)),""))</f>
        <v/>
      </c>
      <c r="J706" s="11" t="str">
        <f aca="false">IF(COUNT(D706:G706)=0,"",COUNT(D706:G706))</f>
        <v/>
      </c>
      <c r="K706" s="12" t="str">
        <f aca="false">IF(OR(J706="",I706=""),"",IF(MIN(D706:G706)&gt;=I706,"Add load (smallest step)",IF(MAX(D706:G706)&lt;H706,"Below range: if again, drop 5–10%","Same load, add reps")))</f>
        <v/>
      </c>
      <c r="L706" s="20"/>
      <c r="M706" s="11" t="str">
        <f aca="false">IF(OR(L706="",C706="",H706="",C706=0),"",MAX(H706,ROUNDUP(30*((L706/C706)*(1+H706/30)-1),0)))</f>
        <v/>
      </c>
    </row>
    <row r="707" customFormat="false" ht="15" hidden="false" customHeight="false" outlineLevel="0" collapsed="false">
      <c r="A707" s="51"/>
      <c r="B707" s="54"/>
      <c r="C707" s="20"/>
      <c r="D707" s="20"/>
      <c r="E707" s="20"/>
      <c r="F707" s="20"/>
      <c r="G707" s="20"/>
      <c r="H707" s="11" t="str">
        <f aca="false">IF(B707="","",IFERROR(INDEX(Program!$H$2:$H$75,MATCH(B707,Program!$D$2:$D$75,0)),""))</f>
        <v/>
      </c>
      <c r="I707" s="11" t="str">
        <f aca="false">IF(B707="","",IFERROR(INDEX(Program!$I$2:$I$75,MATCH(B707,Program!$D$2:$D$75,0)),""))</f>
        <v/>
      </c>
      <c r="J707" s="11" t="str">
        <f aca="false">IF(COUNT(D707:G707)=0,"",COUNT(D707:G707))</f>
        <v/>
      </c>
      <c r="K707" s="12" t="str">
        <f aca="false">IF(OR(J707="",I707=""),"",IF(MIN(D707:G707)&gt;=I707,"Add load (smallest step)",IF(MAX(D707:G707)&lt;H707,"Below range: if again, drop 5–10%","Same load, add reps")))</f>
        <v/>
      </c>
      <c r="L707" s="20"/>
      <c r="M707" s="11" t="str">
        <f aca="false">IF(OR(L707="",C707="",H707="",C707=0),"",MAX(H707,ROUNDUP(30*((L707/C707)*(1+H707/30)-1),0)))</f>
        <v/>
      </c>
    </row>
    <row r="708" customFormat="false" ht="15" hidden="false" customHeight="false" outlineLevel="0" collapsed="false">
      <c r="A708" s="51"/>
      <c r="B708" s="54"/>
      <c r="C708" s="20"/>
      <c r="D708" s="20"/>
      <c r="E708" s="20"/>
      <c r="F708" s="20"/>
      <c r="G708" s="20"/>
      <c r="H708" s="11" t="str">
        <f aca="false">IF(B708="","",IFERROR(INDEX(Program!$H$2:$H$75,MATCH(B708,Program!$D$2:$D$75,0)),""))</f>
        <v/>
      </c>
      <c r="I708" s="11" t="str">
        <f aca="false">IF(B708="","",IFERROR(INDEX(Program!$I$2:$I$75,MATCH(B708,Program!$D$2:$D$75,0)),""))</f>
        <v/>
      </c>
      <c r="J708" s="11" t="str">
        <f aca="false">IF(COUNT(D708:G708)=0,"",COUNT(D708:G708))</f>
        <v/>
      </c>
      <c r="K708" s="12" t="str">
        <f aca="false">IF(OR(J708="",I708=""),"",IF(MIN(D708:G708)&gt;=I708,"Add load (smallest step)",IF(MAX(D708:G708)&lt;H708,"Below range: if again, drop 5–10%","Same load, add reps")))</f>
        <v/>
      </c>
      <c r="L708" s="20"/>
      <c r="M708" s="11" t="str">
        <f aca="false">IF(OR(L708="",C708="",H708="",C708=0),"",MAX(H708,ROUNDUP(30*((L708/C708)*(1+H708/30)-1),0)))</f>
        <v/>
      </c>
    </row>
    <row r="709" customFormat="false" ht="15" hidden="false" customHeight="false" outlineLevel="0" collapsed="false">
      <c r="A709" s="51"/>
      <c r="B709" s="54"/>
      <c r="C709" s="20"/>
      <c r="D709" s="20"/>
      <c r="E709" s="20"/>
      <c r="F709" s="20"/>
      <c r="G709" s="20"/>
      <c r="H709" s="11" t="str">
        <f aca="false">IF(B709="","",IFERROR(INDEX(Program!$H$2:$H$75,MATCH(B709,Program!$D$2:$D$75,0)),""))</f>
        <v/>
      </c>
      <c r="I709" s="11" t="str">
        <f aca="false">IF(B709="","",IFERROR(INDEX(Program!$I$2:$I$75,MATCH(B709,Program!$D$2:$D$75,0)),""))</f>
        <v/>
      </c>
      <c r="J709" s="11" t="str">
        <f aca="false">IF(COUNT(D709:G709)=0,"",COUNT(D709:G709))</f>
        <v/>
      </c>
      <c r="K709" s="12" t="str">
        <f aca="false">IF(OR(J709="",I709=""),"",IF(MIN(D709:G709)&gt;=I709,"Add load (smallest step)",IF(MAX(D709:G709)&lt;H709,"Below range: if again, drop 5–10%","Same load, add reps")))</f>
        <v/>
      </c>
      <c r="L709" s="20"/>
      <c r="M709" s="11" t="str">
        <f aca="false">IF(OR(L709="",C709="",H709="",C709=0),"",MAX(H709,ROUNDUP(30*((L709/C709)*(1+H709/30)-1),0)))</f>
        <v/>
      </c>
    </row>
    <row r="710" customFormat="false" ht="15" hidden="false" customHeight="false" outlineLevel="0" collapsed="false">
      <c r="A710" s="51"/>
      <c r="B710" s="54"/>
      <c r="C710" s="20"/>
      <c r="D710" s="20"/>
      <c r="E710" s="20"/>
      <c r="F710" s="20"/>
      <c r="G710" s="20"/>
      <c r="H710" s="11" t="str">
        <f aca="false">IF(B710="","",IFERROR(INDEX(Program!$H$2:$H$75,MATCH(B710,Program!$D$2:$D$75,0)),""))</f>
        <v/>
      </c>
      <c r="I710" s="11" t="str">
        <f aca="false">IF(B710="","",IFERROR(INDEX(Program!$I$2:$I$75,MATCH(B710,Program!$D$2:$D$75,0)),""))</f>
        <v/>
      </c>
      <c r="J710" s="11" t="str">
        <f aca="false">IF(COUNT(D710:G710)=0,"",COUNT(D710:G710))</f>
        <v/>
      </c>
      <c r="K710" s="12" t="str">
        <f aca="false">IF(OR(J710="",I710=""),"",IF(MIN(D710:G710)&gt;=I710,"Add load (smallest step)",IF(MAX(D710:G710)&lt;H710,"Below range: if again, drop 5–10%","Same load, add reps")))</f>
        <v/>
      </c>
      <c r="L710" s="20"/>
      <c r="M710" s="11" t="str">
        <f aca="false">IF(OR(L710="",C710="",H710="",C710=0),"",MAX(H710,ROUNDUP(30*((L710/C710)*(1+H710/30)-1),0)))</f>
        <v/>
      </c>
    </row>
    <row r="711" customFormat="false" ht="15" hidden="false" customHeight="false" outlineLevel="0" collapsed="false">
      <c r="A711" s="51"/>
      <c r="B711" s="54"/>
      <c r="C711" s="20"/>
      <c r="D711" s="20"/>
      <c r="E711" s="20"/>
      <c r="F711" s="20"/>
      <c r="G711" s="20"/>
      <c r="H711" s="11" t="str">
        <f aca="false">IF(B711="","",IFERROR(INDEX(Program!$H$2:$H$75,MATCH(B711,Program!$D$2:$D$75,0)),""))</f>
        <v/>
      </c>
      <c r="I711" s="11" t="str">
        <f aca="false">IF(B711="","",IFERROR(INDEX(Program!$I$2:$I$75,MATCH(B711,Program!$D$2:$D$75,0)),""))</f>
        <v/>
      </c>
      <c r="J711" s="11" t="str">
        <f aca="false">IF(COUNT(D711:G711)=0,"",COUNT(D711:G711))</f>
        <v/>
      </c>
      <c r="K711" s="12" t="str">
        <f aca="false">IF(OR(J711="",I711=""),"",IF(MIN(D711:G711)&gt;=I711,"Add load (smallest step)",IF(MAX(D711:G711)&lt;H711,"Below range: if again, drop 5–10%","Same load, add reps")))</f>
        <v/>
      </c>
      <c r="L711" s="20"/>
      <c r="M711" s="11" t="str">
        <f aca="false">IF(OR(L711="",C711="",H711="",C711=0),"",MAX(H711,ROUNDUP(30*((L711/C711)*(1+H711/30)-1),0)))</f>
        <v/>
      </c>
    </row>
    <row r="712" customFormat="false" ht="15" hidden="false" customHeight="false" outlineLevel="0" collapsed="false">
      <c r="A712" s="51"/>
      <c r="B712" s="54"/>
      <c r="C712" s="20"/>
      <c r="D712" s="20"/>
      <c r="E712" s="20"/>
      <c r="F712" s="20"/>
      <c r="G712" s="20"/>
      <c r="H712" s="11" t="str">
        <f aca="false">IF(B712="","",IFERROR(INDEX(Program!$H$2:$H$75,MATCH(B712,Program!$D$2:$D$75,0)),""))</f>
        <v/>
      </c>
      <c r="I712" s="11" t="str">
        <f aca="false">IF(B712="","",IFERROR(INDEX(Program!$I$2:$I$75,MATCH(B712,Program!$D$2:$D$75,0)),""))</f>
        <v/>
      </c>
      <c r="J712" s="11" t="str">
        <f aca="false">IF(COUNT(D712:G712)=0,"",COUNT(D712:G712))</f>
        <v/>
      </c>
      <c r="K712" s="12" t="str">
        <f aca="false">IF(OR(J712="",I712=""),"",IF(MIN(D712:G712)&gt;=I712,"Add load (smallest step)",IF(MAX(D712:G712)&lt;H712,"Below range: if again, drop 5–10%","Same load, add reps")))</f>
        <v/>
      </c>
      <c r="L712" s="20"/>
      <c r="M712" s="11" t="str">
        <f aca="false">IF(OR(L712="",C712="",H712="",C712=0),"",MAX(H712,ROUNDUP(30*((L712/C712)*(1+H712/30)-1),0)))</f>
        <v/>
      </c>
    </row>
    <row r="713" customFormat="false" ht="15" hidden="false" customHeight="false" outlineLevel="0" collapsed="false">
      <c r="A713" s="51"/>
      <c r="B713" s="54"/>
      <c r="C713" s="20"/>
      <c r="D713" s="20"/>
      <c r="E713" s="20"/>
      <c r="F713" s="20"/>
      <c r="G713" s="20"/>
      <c r="H713" s="11" t="str">
        <f aca="false">IF(B713="","",IFERROR(INDEX(Program!$H$2:$H$75,MATCH(B713,Program!$D$2:$D$75,0)),""))</f>
        <v/>
      </c>
      <c r="I713" s="11" t="str">
        <f aca="false">IF(B713="","",IFERROR(INDEX(Program!$I$2:$I$75,MATCH(B713,Program!$D$2:$D$75,0)),""))</f>
        <v/>
      </c>
      <c r="J713" s="11" t="str">
        <f aca="false">IF(COUNT(D713:G713)=0,"",COUNT(D713:G713))</f>
        <v/>
      </c>
      <c r="K713" s="12" t="str">
        <f aca="false">IF(OR(J713="",I713=""),"",IF(MIN(D713:G713)&gt;=I713,"Add load (smallest step)",IF(MAX(D713:G713)&lt;H713,"Below range: if again, drop 5–10%","Same load, add reps")))</f>
        <v/>
      </c>
      <c r="L713" s="20"/>
      <c r="M713" s="11" t="str">
        <f aca="false">IF(OR(L713="",C713="",H713="",C713=0),"",MAX(H713,ROUNDUP(30*((L713/C713)*(1+H713/30)-1),0)))</f>
        <v/>
      </c>
    </row>
    <row r="714" customFormat="false" ht="15" hidden="false" customHeight="false" outlineLevel="0" collapsed="false">
      <c r="A714" s="51"/>
      <c r="B714" s="54"/>
      <c r="C714" s="20"/>
      <c r="D714" s="20"/>
      <c r="E714" s="20"/>
      <c r="F714" s="20"/>
      <c r="G714" s="20"/>
      <c r="H714" s="11" t="str">
        <f aca="false">IF(B714="","",IFERROR(INDEX(Program!$H$2:$H$75,MATCH(B714,Program!$D$2:$D$75,0)),""))</f>
        <v/>
      </c>
      <c r="I714" s="11" t="str">
        <f aca="false">IF(B714="","",IFERROR(INDEX(Program!$I$2:$I$75,MATCH(B714,Program!$D$2:$D$75,0)),""))</f>
        <v/>
      </c>
      <c r="J714" s="11" t="str">
        <f aca="false">IF(COUNT(D714:G714)=0,"",COUNT(D714:G714))</f>
        <v/>
      </c>
      <c r="K714" s="12" t="str">
        <f aca="false">IF(OR(J714="",I714=""),"",IF(MIN(D714:G714)&gt;=I714,"Add load (smallest step)",IF(MAX(D714:G714)&lt;H714,"Below range: if again, drop 5–10%","Same load, add reps")))</f>
        <v/>
      </c>
      <c r="L714" s="20"/>
      <c r="M714" s="11" t="str">
        <f aca="false">IF(OR(L714="",C714="",H714="",C714=0),"",MAX(H714,ROUNDUP(30*((L714/C714)*(1+H714/30)-1),0)))</f>
        <v/>
      </c>
    </row>
    <row r="715" customFormat="false" ht="15" hidden="false" customHeight="false" outlineLevel="0" collapsed="false">
      <c r="A715" s="51"/>
      <c r="B715" s="54"/>
      <c r="C715" s="20"/>
      <c r="D715" s="20"/>
      <c r="E715" s="20"/>
      <c r="F715" s="20"/>
      <c r="G715" s="20"/>
      <c r="H715" s="11" t="str">
        <f aca="false">IF(B715="","",IFERROR(INDEX(Program!$H$2:$H$75,MATCH(B715,Program!$D$2:$D$75,0)),""))</f>
        <v/>
      </c>
      <c r="I715" s="11" t="str">
        <f aca="false">IF(B715="","",IFERROR(INDEX(Program!$I$2:$I$75,MATCH(B715,Program!$D$2:$D$75,0)),""))</f>
        <v/>
      </c>
      <c r="J715" s="11" t="str">
        <f aca="false">IF(COUNT(D715:G715)=0,"",COUNT(D715:G715))</f>
        <v/>
      </c>
      <c r="K715" s="12" t="str">
        <f aca="false">IF(OR(J715="",I715=""),"",IF(MIN(D715:G715)&gt;=I715,"Add load (smallest step)",IF(MAX(D715:G715)&lt;H715,"Below range: if again, drop 5–10%","Same load, add reps")))</f>
        <v/>
      </c>
      <c r="L715" s="20"/>
      <c r="M715" s="11" t="str">
        <f aca="false">IF(OR(L715="",C715="",H715="",C715=0),"",MAX(H715,ROUNDUP(30*((L715/C715)*(1+H715/30)-1),0)))</f>
        <v/>
      </c>
    </row>
    <row r="716" customFormat="false" ht="15" hidden="false" customHeight="false" outlineLevel="0" collapsed="false">
      <c r="A716" s="51"/>
      <c r="B716" s="54"/>
      <c r="C716" s="20"/>
      <c r="D716" s="20"/>
      <c r="E716" s="20"/>
      <c r="F716" s="20"/>
      <c r="G716" s="20"/>
      <c r="H716" s="11" t="str">
        <f aca="false">IF(B716="","",IFERROR(INDEX(Program!$H$2:$H$75,MATCH(B716,Program!$D$2:$D$75,0)),""))</f>
        <v/>
      </c>
      <c r="I716" s="11" t="str">
        <f aca="false">IF(B716="","",IFERROR(INDEX(Program!$I$2:$I$75,MATCH(B716,Program!$D$2:$D$75,0)),""))</f>
        <v/>
      </c>
      <c r="J716" s="11" t="str">
        <f aca="false">IF(COUNT(D716:G716)=0,"",COUNT(D716:G716))</f>
        <v/>
      </c>
      <c r="K716" s="12" t="str">
        <f aca="false">IF(OR(J716="",I716=""),"",IF(MIN(D716:G716)&gt;=I716,"Add load (smallest step)",IF(MAX(D716:G716)&lt;H716,"Below range: if again, drop 5–10%","Same load, add reps")))</f>
        <v/>
      </c>
      <c r="L716" s="20"/>
      <c r="M716" s="11" t="str">
        <f aca="false">IF(OR(L716="",C716="",H716="",C716=0),"",MAX(H716,ROUNDUP(30*((L716/C716)*(1+H716/30)-1),0)))</f>
        <v/>
      </c>
    </row>
    <row r="717" customFormat="false" ht="15" hidden="false" customHeight="false" outlineLevel="0" collapsed="false">
      <c r="A717" s="51"/>
      <c r="B717" s="54"/>
      <c r="C717" s="20"/>
      <c r="D717" s="20"/>
      <c r="E717" s="20"/>
      <c r="F717" s="20"/>
      <c r="G717" s="20"/>
      <c r="H717" s="11" t="str">
        <f aca="false">IF(B717="","",IFERROR(INDEX(Program!$H$2:$H$75,MATCH(B717,Program!$D$2:$D$75,0)),""))</f>
        <v/>
      </c>
      <c r="I717" s="11" t="str">
        <f aca="false">IF(B717="","",IFERROR(INDEX(Program!$I$2:$I$75,MATCH(B717,Program!$D$2:$D$75,0)),""))</f>
        <v/>
      </c>
      <c r="J717" s="11" t="str">
        <f aca="false">IF(COUNT(D717:G717)=0,"",COUNT(D717:G717))</f>
        <v/>
      </c>
      <c r="K717" s="12" t="str">
        <f aca="false">IF(OR(J717="",I717=""),"",IF(MIN(D717:G717)&gt;=I717,"Add load (smallest step)",IF(MAX(D717:G717)&lt;H717,"Below range: if again, drop 5–10%","Same load, add reps")))</f>
        <v/>
      </c>
      <c r="L717" s="20"/>
      <c r="M717" s="11" t="str">
        <f aca="false">IF(OR(L717="",C717="",H717="",C717=0),"",MAX(H717,ROUNDUP(30*((L717/C717)*(1+H717/30)-1),0)))</f>
        <v/>
      </c>
    </row>
    <row r="718" customFormat="false" ht="15" hidden="false" customHeight="false" outlineLevel="0" collapsed="false">
      <c r="A718" s="51"/>
      <c r="B718" s="54"/>
      <c r="C718" s="20"/>
      <c r="D718" s="20"/>
      <c r="E718" s="20"/>
      <c r="F718" s="20"/>
      <c r="G718" s="20"/>
      <c r="H718" s="11" t="str">
        <f aca="false">IF(B718="","",IFERROR(INDEX(Program!$H$2:$H$75,MATCH(B718,Program!$D$2:$D$75,0)),""))</f>
        <v/>
      </c>
      <c r="I718" s="11" t="str">
        <f aca="false">IF(B718="","",IFERROR(INDEX(Program!$I$2:$I$75,MATCH(B718,Program!$D$2:$D$75,0)),""))</f>
        <v/>
      </c>
      <c r="J718" s="11" t="str">
        <f aca="false">IF(COUNT(D718:G718)=0,"",COUNT(D718:G718))</f>
        <v/>
      </c>
      <c r="K718" s="12" t="str">
        <f aca="false">IF(OR(J718="",I718=""),"",IF(MIN(D718:G718)&gt;=I718,"Add load (smallest step)",IF(MAX(D718:G718)&lt;H718,"Below range: if again, drop 5–10%","Same load, add reps")))</f>
        <v/>
      </c>
      <c r="L718" s="20"/>
      <c r="M718" s="11" t="str">
        <f aca="false">IF(OR(L718="",C718="",H718="",C718=0),"",MAX(H718,ROUNDUP(30*((L718/C718)*(1+H718/30)-1),0)))</f>
        <v/>
      </c>
    </row>
    <row r="719" customFormat="false" ht="15" hidden="false" customHeight="false" outlineLevel="0" collapsed="false">
      <c r="A719" s="51"/>
      <c r="B719" s="54"/>
      <c r="C719" s="20"/>
      <c r="D719" s="20"/>
      <c r="E719" s="20"/>
      <c r="F719" s="20"/>
      <c r="G719" s="20"/>
      <c r="H719" s="11" t="str">
        <f aca="false">IF(B719="","",IFERROR(INDEX(Program!$H$2:$H$75,MATCH(B719,Program!$D$2:$D$75,0)),""))</f>
        <v/>
      </c>
      <c r="I719" s="11" t="str">
        <f aca="false">IF(B719="","",IFERROR(INDEX(Program!$I$2:$I$75,MATCH(B719,Program!$D$2:$D$75,0)),""))</f>
        <v/>
      </c>
      <c r="J719" s="11" t="str">
        <f aca="false">IF(COUNT(D719:G719)=0,"",COUNT(D719:G719))</f>
        <v/>
      </c>
      <c r="K719" s="12" t="str">
        <f aca="false">IF(OR(J719="",I719=""),"",IF(MIN(D719:G719)&gt;=I719,"Add load (smallest step)",IF(MAX(D719:G719)&lt;H719,"Below range: if again, drop 5–10%","Same load, add reps")))</f>
        <v/>
      </c>
      <c r="L719" s="20"/>
      <c r="M719" s="11" t="str">
        <f aca="false">IF(OR(L719="",C719="",H719="",C719=0),"",MAX(H719,ROUNDUP(30*((L719/C719)*(1+H719/30)-1),0)))</f>
        <v/>
      </c>
    </row>
    <row r="720" customFormat="false" ht="15" hidden="false" customHeight="false" outlineLevel="0" collapsed="false">
      <c r="A720" s="51"/>
      <c r="B720" s="54"/>
      <c r="C720" s="20"/>
      <c r="D720" s="20"/>
      <c r="E720" s="20"/>
      <c r="F720" s="20"/>
      <c r="G720" s="20"/>
      <c r="H720" s="11" t="str">
        <f aca="false">IF(B720="","",IFERROR(INDEX(Program!$H$2:$H$75,MATCH(B720,Program!$D$2:$D$75,0)),""))</f>
        <v/>
      </c>
      <c r="I720" s="11" t="str">
        <f aca="false">IF(B720="","",IFERROR(INDEX(Program!$I$2:$I$75,MATCH(B720,Program!$D$2:$D$75,0)),""))</f>
        <v/>
      </c>
      <c r="J720" s="11" t="str">
        <f aca="false">IF(COUNT(D720:G720)=0,"",COUNT(D720:G720))</f>
        <v/>
      </c>
      <c r="K720" s="12" t="str">
        <f aca="false">IF(OR(J720="",I720=""),"",IF(MIN(D720:G720)&gt;=I720,"Add load (smallest step)",IF(MAX(D720:G720)&lt;H720,"Below range: if again, drop 5–10%","Same load, add reps")))</f>
        <v/>
      </c>
      <c r="L720" s="20"/>
      <c r="M720" s="11" t="str">
        <f aca="false">IF(OR(L720="",C720="",H720="",C720=0),"",MAX(H720,ROUNDUP(30*((L720/C720)*(1+H720/30)-1),0)))</f>
        <v/>
      </c>
    </row>
    <row r="721" customFormat="false" ht="15" hidden="false" customHeight="false" outlineLevel="0" collapsed="false">
      <c r="A721" s="51"/>
      <c r="B721" s="54"/>
      <c r="C721" s="20"/>
      <c r="D721" s="20"/>
      <c r="E721" s="20"/>
      <c r="F721" s="20"/>
      <c r="G721" s="20"/>
      <c r="H721" s="11" t="str">
        <f aca="false">IF(B721="","",IFERROR(INDEX(Program!$H$2:$H$75,MATCH(B721,Program!$D$2:$D$75,0)),""))</f>
        <v/>
      </c>
      <c r="I721" s="11" t="str">
        <f aca="false">IF(B721="","",IFERROR(INDEX(Program!$I$2:$I$75,MATCH(B721,Program!$D$2:$D$75,0)),""))</f>
        <v/>
      </c>
      <c r="J721" s="11" t="str">
        <f aca="false">IF(COUNT(D721:G721)=0,"",COUNT(D721:G721))</f>
        <v/>
      </c>
      <c r="K721" s="12" t="str">
        <f aca="false">IF(OR(J721="",I721=""),"",IF(MIN(D721:G721)&gt;=I721,"Add load (smallest step)",IF(MAX(D721:G721)&lt;H721,"Below range: if again, drop 5–10%","Same load, add reps")))</f>
        <v/>
      </c>
      <c r="L721" s="20"/>
      <c r="M721" s="11" t="str">
        <f aca="false">IF(OR(L721="",C721="",H721="",C721=0),"",MAX(H721,ROUNDUP(30*((L721/C721)*(1+H721/30)-1),0)))</f>
        <v/>
      </c>
    </row>
    <row r="722" customFormat="false" ht="15" hidden="false" customHeight="false" outlineLevel="0" collapsed="false">
      <c r="A722" s="51"/>
      <c r="B722" s="54"/>
      <c r="C722" s="20"/>
      <c r="D722" s="20"/>
      <c r="E722" s="20"/>
      <c r="F722" s="20"/>
      <c r="G722" s="20"/>
      <c r="H722" s="11" t="str">
        <f aca="false">IF(B722="","",IFERROR(INDEX(Program!$H$2:$H$75,MATCH(B722,Program!$D$2:$D$75,0)),""))</f>
        <v/>
      </c>
      <c r="I722" s="11" t="str">
        <f aca="false">IF(B722="","",IFERROR(INDEX(Program!$I$2:$I$75,MATCH(B722,Program!$D$2:$D$75,0)),""))</f>
        <v/>
      </c>
      <c r="J722" s="11" t="str">
        <f aca="false">IF(COUNT(D722:G722)=0,"",COUNT(D722:G722))</f>
        <v/>
      </c>
      <c r="K722" s="12" t="str">
        <f aca="false">IF(OR(J722="",I722=""),"",IF(MIN(D722:G722)&gt;=I722,"Add load (smallest step)",IF(MAX(D722:G722)&lt;H722,"Below range: if again, drop 5–10%","Same load, add reps")))</f>
        <v/>
      </c>
      <c r="L722" s="20"/>
      <c r="M722" s="11" t="str">
        <f aca="false">IF(OR(L722="",C722="",H722="",C722=0),"",MAX(H722,ROUNDUP(30*((L722/C722)*(1+H722/30)-1),0)))</f>
        <v/>
      </c>
    </row>
    <row r="723" customFormat="false" ht="15" hidden="false" customHeight="false" outlineLevel="0" collapsed="false">
      <c r="A723" s="51"/>
      <c r="B723" s="54"/>
      <c r="C723" s="20"/>
      <c r="D723" s="20"/>
      <c r="E723" s="20"/>
      <c r="F723" s="20"/>
      <c r="G723" s="20"/>
      <c r="H723" s="11" t="str">
        <f aca="false">IF(B723="","",IFERROR(INDEX(Program!$H$2:$H$75,MATCH(B723,Program!$D$2:$D$75,0)),""))</f>
        <v/>
      </c>
      <c r="I723" s="11" t="str">
        <f aca="false">IF(B723="","",IFERROR(INDEX(Program!$I$2:$I$75,MATCH(B723,Program!$D$2:$D$75,0)),""))</f>
        <v/>
      </c>
      <c r="J723" s="11" t="str">
        <f aca="false">IF(COUNT(D723:G723)=0,"",COUNT(D723:G723))</f>
        <v/>
      </c>
      <c r="K723" s="12" t="str">
        <f aca="false">IF(OR(J723="",I723=""),"",IF(MIN(D723:G723)&gt;=I723,"Add load (smallest step)",IF(MAX(D723:G723)&lt;H723,"Below range: if again, drop 5–10%","Same load, add reps")))</f>
        <v/>
      </c>
      <c r="L723" s="20"/>
      <c r="M723" s="11" t="str">
        <f aca="false">IF(OR(L723="",C723="",H723="",C723=0),"",MAX(H723,ROUNDUP(30*((L723/C723)*(1+H723/30)-1),0)))</f>
        <v/>
      </c>
    </row>
    <row r="724" customFormat="false" ht="15" hidden="false" customHeight="false" outlineLevel="0" collapsed="false">
      <c r="A724" s="51"/>
      <c r="B724" s="54"/>
      <c r="C724" s="20"/>
      <c r="D724" s="20"/>
      <c r="E724" s="20"/>
      <c r="F724" s="20"/>
      <c r="G724" s="20"/>
      <c r="H724" s="11" t="str">
        <f aca="false">IF(B724="","",IFERROR(INDEX(Program!$H$2:$H$75,MATCH(B724,Program!$D$2:$D$75,0)),""))</f>
        <v/>
      </c>
      <c r="I724" s="11" t="str">
        <f aca="false">IF(B724="","",IFERROR(INDEX(Program!$I$2:$I$75,MATCH(B724,Program!$D$2:$D$75,0)),""))</f>
        <v/>
      </c>
      <c r="J724" s="11" t="str">
        <f aca="false">IF(COUNT(D724:G724)=0,"",COUNT(D724:G724))</f>
        <v/>
      </c>
      <c r="K724" s="12" t="str">
        <f aca="false">IF(OR(J724="",I724=""),"",IF(MIN(D724:G724)&gt;=I724,"Add load (smallest step)",IF(MAX(D724:G724)&lt;H724,"Below range: if again, drop 5–10%","Same load, add reps")))</f>
        <v/>
      </c>
      <c r="L724" s="20"/>
      <c r="M724" s="11" t="str">
        <f aca="false">IF(OR(L724="",C724="",H724="",C724=0),"",MAX(H724,ROUNDUP(30*((L724/C724)*(1+H724/30)-1),0)))</f>
        <v/>
      </c>
    </row>
    <row r="725" customFormat="false" ht="15" hidden="false" customHeight="false" outlineLevel="0" collapsed="false">
      <c r="A725" s="51"/>
      <c r="B725" s="54"/>
      <c r="C725" s="20"/>
      <c r="D725" s="20"/>
      <c r="E725" s="20"/>
      <c r="F725" s="20"/>
      <c r="G725" s="20"/>
      <c r="H725" s="11" t="str">
        <f aca="false">IF(B725="","",IFERROR(INDEX(Program!$H$2:$H$75,MATCH(B725,Program!$D$2:$D$75,0)),""))</f>
        <v/>
      </c>
      <c r="I725" s="11" t="str">
        <f aca="false">IF(B725="","",IFERROR(INDEX(Program!$I$2:$I$75,MATCH(B725,Program!$D$2:$D$75,0)),""))</f>
        <v/>
      </c>
      <c r="J725" s="11" t="str">
        <f aca="false">IF(COUNT(D725:G725)=0,"",COUNT(D725:G725))</f>
        <v/>
      </c>
      <c r="K725" s="12" t="str">
        <f aca="false">IF(OR(J725="",I725=""),"",IF(MIN(D725:G725)&gt;=I725,"Add load (smallest step)",IF(MAX(D725:G725)&lt;H725,"Below range: if again, drop 5–10%","Same load, add reps")))</f>
        <v/>
      </c>
      <c r="L725" s="20"/>
      <c r="M725" s="11" t="str">
        <f aca="false">IF(OR(L725="",C725="",H725="",C725=0),"",MAX(H725,ROUNDUP(30*((L725/C725)*(1+H725/30)-1),0)))</f>
        <v/>
      </c>
    </row>
    <row r="726" customFormat="false" ht="15" hidden="false" customHeight="false" outlineLevel="0" collapsed="false">
      <c r="A726" s="51"/>
      <c r="B726" s="54"/>
      <c r="C726" s="20"/>
      <c r="D726" s="20"/>
      <c r="E726" s="20"/>
      <c r="F726" s="20"/>
      <c r="G726" s="20"/>
      <c r="H726" s="11" t="str">
        <f aca="false">IF(B726="","",IFERROR(INDEX(Program!$H$2:$H$75,MATCH(B726,Program!$D$2:$D$75,0)),""))</f>
        <v/>
      </c>
      <c r="I726" s="11" t="str">
        <f aca="false">IF(B726="","",IFERROR(INDEX(Program!$I$2:$I$75,MATCH(B726,Program!$D$2:$D$75,0)),""))</f>
        <v/>
      </c>
      <c r="J726" s="11" t="str">
        <f aca="false">IF(COUNT(D726:G726)=0,"",COUNT(D726:G726))</f>
        <v/>
      </c>
      <c r="K726" s="12" t="str">
        <f aca="false">IF(OR(J726="",I726=""),"",IF(MIN(D726:G726)&gt;=I726,"Add load (smallest step)",IF(MAX(D726:G726)&lt;H726,"Below range: if again, drop 5–10%","Same load, add reps")))</f>
        <v/>
      </c>
      <c r="L726" s="20"/>
      <c r="M726" s="11" t="str">
        <f aca="false">IF(OR(L726="",C726="",H726="",C726=0),"",MAX(H726,ROUNDUP(30*((L726/C726)*(1+H726/30)-1),0)))</f>
        <v/>
      </c>
    </row>
    <row r="727" customFormat="false" ht="15" hidden="false" customHeight="false" outlineLevel="0" collapsed="false">
      <c r="A727" s="51"/>
      <c r="B727" s="54"/>
      <c r="C727" s="20"/>
      <c r="D727" s="20"/>
      <c r="E727" s="20"/>
      <c r="F727" s="20"/>
      <c r="G727" s="20"/>
      <c r="H727" s="11" t="str">
        <f aca="false">IF(B727="","",IFERROR(INDEX(Program!$H$2:$H$75,MATCH(B727,Program!$D$2:$D$75,0)),""))</f>
        <v/>
      </c>
      <c r="I727" s="11" t="str">
        <f aca="false">IF(B727="","",IFERROR(INDEX(Program!$I$2:$I$75,MATCH(B727,Program!$D$2:$D$75,0)),""))</f>
        <v/>
      </c>
      <c r="J727" s="11" t="str">
        <f aca="false">IF(COUNT(D727:G727)=0,"",COUNT(D727:G727))</f>
        <v/>
      </c>
      <c r="K727" s="12" t="str">
        <f aca="false">IF(OR(J727="",I727=""),"",IF(MIN(D727:G727)&gt;=I727,"Add load (smallest step)",IF(MAX(D727:G727)&lt;H727,"Below range: if again, drop 5–10%","Same load, add reps")))</f>
        <v/>
      </c>
      <c r="L727" s="20"/>
      <c r="M727" s="11" t="str">
        <f aca="false">IF(OR(L727="",C727="",H727="",C727=0),"",MAX(H727,ROUNDUP(30*((L727/C727)*(1+H727/30)-1),0)))</f>
        <v/>
      </c>
    </row>
    <row r="728" customFormat="false" ht="15" hidden="false" customHeight="false" outlineLevel="0" collapsed="false">
      <c r="A728" s="51"/>
      <c r="B728" s="54"/>
      <c r="C728" s="20"/>
      <c r="D728" s="20"/>
      <c r="E728" s="20"/>
      <c r="F728" s="20"/>
      <c r="G728" s="20"/>
      <c r="H728" s="11" t="str">
        <f aca="false">IF(B728="","",IFERROR(INDEX(Program!$H$2:$H$75,MATCH(B728,Program!$D$2:$D$75,0)),""))</f>
        <v/>
      </c>
      <c r="I728" s="11" t="str">
        <f aca="false">IF(B728="","",IFERROR(INDEX(Program!$I$2:$I$75,MATCH(B728,Program!$D$2:$D$75,0)),""))</f>
        <v/>
      </c>
      <c r="J728" s="11" t="str">
        <f aca="false">IF(COUNT(D728:G728)=0,"",COUNT(D728:G728))</f>
        <v/>
      </c>
      <c r="K728" s="12" t="str">
        <f aca="false">IF(OR(J728="",I728=""),"",IF(MIN(D728:G728)&gt;=I728,"Add load (smallest step)",IF(MAX(D728:G728)&lt;H728,"Below range: if again, drop 5–10%","Same load, add reps")))</f>
        <v/>
      </c>
      <c r="L728" s="20"/>
      <c r="M728" s="11" t="str">
        <f aca="false">IF(OR(L728="",C728="",H728="",C728=0),"",MAX(H728,ROUNDUP(30*((L728/C728)*(1+H728/30)-1),0)))</f>
        <v/>
      </c>
    </row>
    <row r="729" customFormat="false" ht="15" hidden="false" customHeight="false" outlineLevel="0" collapsed="false">
      <c r="A729" s="51"/>
      <c r="B729" s="54"/>
      <c r="C729" s="20"/>
      <c r="D729" s="20"/>
      <c r="E729" s="20"/>
      <c r="F729" s="20"/>
      <c r="G729" s="20"/>
      <c r="H729" s="11" t="str">
        <f aca="false">IF(B729="","",IFERROR(INDEX(Program!$H$2:$H$75,MATCH(B729,Program!$D$2:$D$75,0)),""))</f>
        <v/>
      </c>
      <c r="I729" s="11" t="str">
        <f aca="false">IF(B729="","",IFERROR(INDEX(Program!$I$2:$I$75,MATCH(B729,Program!$D$2:$D$75,0)),""))</f>
        <v/>
      </c>
      <c r="J729" s="11" t="str">
        <f aca="false">IF(COUNT(D729:G729)=0,"",COUNT(D729:G729))</f>
        <v/>
      </c>
      <c r="K729" s="12" t="str">
        <f aca="false">IF(OR(J729="",I729=""),"",IF(MIN(D729:G729)&gt;=I729,"Add load (smallest step)",IF(MAX(D729:G729)&lt;H729,"Below range: if again, drop 5–10%","Same load, add reps")))</f>
        <v/>
      </c>
      <c r="L729" s="20"/>
      <c r="M729" s="11" t="str">
        <f aca="false">IF(OR(L729="",C729="",H729="",C729=0),"",MAX(H729,ROUNDUP(30*((L729/C729)*(1+H729/30)-1),0)))</f>
        <v/>
      </c>
    </row>
    <row r="730" customFormat="false" ht="15" hidden="false" customHeight="false" outlineLevel="0" collapsed="false">
      <c r="A730" s="51"/>
      <c r="B730" s="54"/>
      <c r="C730" s="20"/>
      <c r="D730" s="20"/>
      <c r="E730" s="20"/>
      <c r="F730" s="20"/>
      <c r="G730" s="20"/>
      <c r="H730" s="11" t="str">
        <f aca="false">IF(B730="","",IFERROR(INDEX(Program!$H$2:$H$75,MATCH(B730,Program!$D$2:$D$75,0)),""))</f>
        <v/>
      </c>
      <c r="I730" s="11" t="str">
        <f aca="false">IF(B730="","",IFERROR(INDEX(Program!$I$2:$I$75,MATCH(B730,Program!$D$2:$D$75,0)),""))</f>
        <v/>
      </c>
      <c r="J730" s="11" t="str">
        <f aca="false">IF(COUNT(D730:G730)=0,"",COUNT(D730:G730))</f>
        <v/>
      </c>
      <c r="K730" s="12" t="str">
        <f aca="false">IF(OR(J730="",I730=""),"",IF(MIN(D730:G730)&gt;=I730,"Add load (smallest step)",IF(MAX(D730:G730)&lt;H730,"Below range: if again, drop 5–10%","Same load, add reps")))</f>
        <v/>
      </c>
      <c r="L730" s="20"/>
      <c r="M730" s="11" t="str">
        <f aca="false">IF(OR(L730="",C730="",H730="",C730=0),"",MAX(H730,ROUNDUP(30*((L730/C730)*(1+H730/30)-1),0)))</f>
        <v/>
      </c>
    </row>
    <row r="731" customFormat="false" ht="15" hidden="false" customHeight="false" outlineLevel="0" collapsed="false">
      <c r="A731" s="51"/>
      <c r="B731" s="54"/>
      <c r="C731" s="20"/>
      <c r="D731" s="20"/>
      <c r="E731" s="20"/>
      <c r="F731" s="20"/>
      <c r="G731" s="20"/>
      <c r="H731" s="11" t="str">
        <f aca="false">IF(B731="","",IFERROR(INDEX(Program!$H$2:$H$75,MATCH(B731,Program!$D$2:$D$75,0)),""))</f>
        <v/>
      </c>
      <c r="I731" s="11" t="str">
        <f aca="false">IF(B731="","",IFERROR(INDEX(Program!$I$2:$I$75,MATCH(B731,Program!$D$2:$D$75,0)),""))</f>
        <v/>
      </c>
      <c r="J731" s="11" t="str">
        <f aca="false">IF(COUNT(D731:G731)=0,"",COUNT(D731:G731))</f>
        <v/>
      </c>
      <c r="K731" s="12" t="str">
        <f aca="false">IF(OR(J731="",I731=""),"",IF(MIN(D731:G731)&gt;=I731,"Add load (smallest step)",IF(MAX(D731:G731)&lt;H731,"Below range: if again, drop 5–10%","Same load, add reps")))</f>
        <v/>
      </c>
      <c r="L731" s="20"/>
      <c r="M731" s="11" t="str">
        <f aca="false">IF(OR(L731="",C731="",H731="",C731=0),"",MAX(H731,ROUNDUP(30*((L731/C731)*(1+H731/30)-1),0)))</f>
        <v/>
      </c>
    </row>
    <row r="732" customFormat="false" ht="15" hidden="false" customHeight="false" outlineLevel="0" collapsed="false">
      <c r="A732" s="51"/>
      <c r="B732" s="54"/>
      <c r="C732" s="20"/>
      <c r="D732" s="20"/>
      <c r="E732" s="20"/>
      <c r="F732" s="20"/>
      <c r="G732" s="20"/>
      <c r="H732" s="11" t="str">
        <f aca="false">IF(B732="","",IFERROR(INDEX(Program!$H$2:$H$75,MATCH(B732,Program!$D$2:$D$75,0)),""))</f>
        <v/>
      </c>
      <c r="I732" s="11" t="str">
        <f aca="false">IF(B732="","",IFERROR(INDEX(Program!$I$2:$I$75,MATCH(B732,Program!$D$2:$D$75,0)),""))</f>
        <v/>
      </c>
      <c r="J732" s="11" t="str">
        <f aca="false">IF(COUNT(D732:G732)=0,"",COUNT(D732:G732))</f>
        <v/>
      </c>
      <c r="K732" s="12" t="str">
        <f aca="false">IF(OR(J732="",I732=""),"",IF(MIN(D732:G732)&gt;=I732,"Add load (smallest step)",IF(MAX(D732:G732)&lt;H732,"Below range: if again, drop 5–10%","Same load, add reps")))</f>
        <v/>
      </c>
      <c r="L732" s="20"/>
      <c r="M732" s="11" t="str">
        <f aca="false">IF(OR(L732="",C732="",H732="",C732=0),"",MAX(H732,ROUNDUP(30*((L732/C732)*(1+H732/30)-1),0)))</f>
        <v/>
      </c>
    </row>
    <row r="733" customFormat="false" ht="15" hidden="false" customHeight="false" outlineLevel="0" collapsed="false">
      <c r="A733" s="51"/>
      <c r="B733" s="54"/>
      <c r="C733" s="20"/>
      <c r="D733" s="20"/>
      <c r="E733" s="20"/>
      <c r="F733" s="20"/>
      <c r="G733" s="20"/>
      <c r="H733" s="11" t="str">
        <f aca="false">IF(B733="","",IFERROR(INDEX(Program!$H$2:$H$75,MATCH(B733,Program!$D$2:$D$75,0)),""))</f>
        <v/>
      </c>
      <c r="I733" s="11" t="str">
        <f aca="false">IF(B733="","",IFERROR(INDEX(Program!$I$2:$I$75,MATCH(B733,Program!$D$2:$D$75,0)),""))</f>
        <v/>
      </c>
      <c r="J733" s="11" t="str">
        <f aca="false">IF(COUNT(D733:G733)=0,"",COUNT(D733:G733))</f>
        <v/>
      </c>
      <c r="K733" s="12" t="str">
        <f aca="false">IF(OR(J733="",I733=""),"",IF(MIN(D733:G733)&gt;=I733,"Add load (smallest step)",IF(MAX(D733:G733)&lt;H733,"Below range: if again, drop 5–10%","Same load, add reps")))</f>
        <v/>
      </c>
      <c r="L733" s="20"/>
      <c r="M733" s="11" t="str">
        <f aca="false">IF(OR(L733="",C733="",H733="",C733=0),"",MAX(H733,ROUNDUP(30*((L733/C733)*(1+H733/30)-1),0)))</f>
        <v/>
      </c>
    </row>
    <row r="734" customFormat="false" ht="15" hidden="false" customHeight="false" outlineLevel="0" collapsed="false">
      <c r="A734" s="51"/>
      <c r="B734" s="54"/>
      <c r="C734" s="20"/>
      <c r="D734" s="20"/>
      <c r="E734" s="20"/>
      <c r="F734" s="20"/>
      <c r="G734" s="20"/>
      <c r="H734" s="11" t="str">
        <f aca="false">IF(B734="","",IFERROR(INDEX(Program!$H$2:$H$75,MATCH(B734,Program!$D$2:$D$75,0)),""))</f>
        <v/>
      </c>
      <c r="I734" s="11" t="str">
        <f aca="false">IF(B734="","",IFERROR(INDEX(Program!$I$2:$I$75,MATCH(B734,Program!$D$2:$D$75,0)),""))</f>
        <v/>
      </c>
      <c r="J734" s="11" t="str">
        <f aca="false">IF(COUNT(D734:G734)=0,"",COUNT(D734:G734))</f>
        <v/>
      </c>
      <c r="K734" s="12" t="str">
        <f aca="false">IF(OR(J734="",I734=""),"",IF(MIN(D734:G734)&gt;=I734,"Add load (smallest step)",IF(MAX(D734:G734)&lt;H734,"Below range: if again, drop 5–10%","Same load, add reps")))</f>
        <v/>
      </c>
      <c r="L734" s="20"/>
      <c r="M734" s="11" t="str">
        <f aca="false">IF(OR(L734="",C734="",H734="",C734=0),"",MAX(H734,ROUNDUP(30*((L734/C734)*(1+H734/30)-1),0)))</f>
        <v/>
      </c>
    </row>
    <row r="735" customFormat="false" ht="15" hidden="false" customHeight="false" outlineLevel="0" collapsed="false">
      <c r="A735" s="51"/>
      <c r="B735" s="54"/>
      <c r="C735" s="20"/>
      <c r="D735" s="20"/>
      <c r="E735" s="20"/>
      <c r="F735" s="20"/>
      <c r="G735" s="20"/>
      <c r="H735" s="11" t="str">
        <f aca="false">IF(B735="","",IFERROR(INDEX(Program!$H$2:$H$75,MATCH(B735,Program!$D$2:$D$75,0)),""))</f>
        <v/>
      </c>
      <c r="I735" s="11" t="str">
        <f aca="false">IF(B735="","",IFERROR(INDEX(Program!$I$2:$I$75,MATCH(B735,Program!$D$2:$D$75,0)),""))</f>
        <v/>
      </c>
      <c r="J735" s="11" t="str">
        <f aca="false">IF(COUNT(D735:G735)=0,"",COUNT(D735:G735))</f>
        <v/>
      </c>
      <c r="K735" s="12" t="str">
        <f aca="false">IF(OR(J735="",I735=""),"",IF(MIN(D735:G735)&gt;=I735,"Add load (smallest step)",IF(MAX(D735:G735)&lt;H735,"Below range: if again, drop 5–10%","Same load, add reps")))</f>
        <v/>
      </c>
      <c r="L735" s="20"/>
      <c r="M735" s="11" t="str">
        <f aca="false">IF(OR(L735="",C735="",H735="",C735=0),"",MAX(H735,ROUNDUP(30*((L735/C735)*(1+H735/30)-1),0)))</f>
        <v/>
      </c>
    </row>
    <row r="736" customFormat="false" ht="15" hidden="false" customHeight="false" outlineLevel="0" collapsed="false">
      <c r="A736" s="51"/>
      <c r="B736" s="54"/>
      <c r="C736" s="20"/>
      <c r="D736" s="20"/>
      <c r="E736" s="20"/>
      <c r="F736" s="20"/>
      <c r="G736" s="20"/>
      <c r="H736" s="11" t="str">
        <f aca="false">IF(B736="","",IFERROR(INDEX(Program!$H$2:$H$75,MATCH(B736,Program!$D$2:$D$75,0)),""))</f>
        <v/>
      </c>
      <c r="I736" s="11" t="str">
        <f aca="false">IF(B736="","",IFERROR(INDEX(Program!$I$2:$I$75,MATCH(B736,Program!$D$2:$D$75,0)),""))</f>
        <v/>
      </c>
      <c r="J736" s="11" t="str">
        <f aca="false">IF(COUNT(D736:G736)=0,"",COUNT(D736:G736))</f>
        <v/>
      </c>
      <c r="K736" s="12" t="str">
        <f aca="false">IF(OR(J736="",I736=""),"",IF(MIN(D736:G736)&gt;=I736,"Add load (smallest step)",IF(MAX(D736:G736)&lt;H736,"Below range: if again, drop 5–10%","Same load, add reps")))</f>
        <v/>
      </c>
      <c r="L736" s="20"/>
      <c r="M736" s="11" t="str">
        <f aca="false">IF(OR(L736="",C736="",H736="",C736=0),"",MAX(H736,ROUNDUP(30*((L736/C736)*(1+H736/30)-1),0)))</f>
        <v/>
      </c>
    </row>
    <row r="737" customFormat="false" ht="15" hidden="false" customHeight="false" outlineLevel="0" collapsed="false">
      <c r="A737" s="51"/>
      <c r="B737" s="54"/>
      <c r="C737" s="20"/>
      <c r="D737" s="20"/>
      <c r="E737" s="20"/>
      <c r="F737" s="20"/>
      <c r="G737" s="20"/>
      <c r="H737" s="11" t="str">
        <f aca="false">IF(B737="","",IFERROR(INDEX(Program!$H$2:$H$75,MATCH(B737,Program!$D$2:$D$75,0)),""))</f>
        <v/>
      </c>
      <c r="I737" s="11" t="str">
        <f aca="false">IF(B737="","",IFERROR(INDEX(Program!$I$2:$I$75,MATCH(B737,Program!$D$2:$D$75,0)),""))</f>
        <v/>
      </c>
      <c r="J737" s="11" t="str">
        <f aca="false">IF(COUNT(D737:G737)=0,"",COUNT(D737:G737))</f>
        <v/>
      </c>
      <c r="K737" s="12" t="str">
        <f aca="false">IF(OR(J737="",I737=""),"",IF(MIN(D737:G737)&gt;=I737,"Add load (smallest step)",IF(MAX(D737:G737)&lt;H737,"Below range: if again, drop 5–10%","Same load, add reps")))</f>
        <v/>
      </c>
      <c r="L737" s="20"/>
      <c r="M737" s="11" t="str">
        <f aca="false">IF(OR(L737="",C737="",H737="",C737=0),"",MAX(H737,ROUNDUP(30*((L737/C737)*(1+H737/30)-1),0)))</f>
        <v/>
      </c>
    </row>
    <row r="738" customFormat="false" ht="15" hidden="false" customHeight="false" outlineLevel="0" collapsed="false">
      <c r="A738" s="51"/>
      <c r="B738" s="54"/>
      <c r="C738" s="20"/>
      <c r="D738" s="20"/>
      <c r="E738" s="20"/>
      <c r="F738" s="20"/>
      <c r="G738" s="20"/>
      <c r="H738" s="11" t="str">
        <f aca="false">IF(B738="","",IFERROR(INDEX(Program!$H$2:$H$75,MATCH(B738,Program!$D$2:$D$75,0)),""))</f>
        <v/>
      </c>
      <c r="I738" s="11" t="str">
        <f aca="false">IF(B738="","",IFERROR(INDEX(Program!$I$2:$I$75,MATCH(B738,Program!$D$2:$D$75,0)),""))</f>
        <v/>
      </c>
      <c r="J738" s="11" t="str">
        <f aca="false">IF(COUNT(D738:G738)=0,"",COUNT(D738:G738))</f>
        <v/>
      </c>
      <c r="K738" s="12" t="str">
        <f aca="false">IF(OR(J738="",I738=""),"",IF(MIN(D738:G738)&gt;=I738,"Add load (smallest step)",IF(MAX(D738:G738)&lt;H738,"Below range: if again, drop 5–10%","Same load, add reps")))</f>
        <v/>
      </c>
      <c r="L738" s="20"/>
      <c r="M738" s="11" t="str">
        <f aca="false">IF(OR(L738="",C738="",H738="",C738=0),"",MAX(H738,ROUNDUP(30*((L738/C738)*(1+H738/30)-1),0)))</f>
        <v/>
      </c>
    </row>
    <row r="739" customFormat="false" ht="15" hidden="false" customHeight="false" outlineLevel="0" collapsed="false">
      <c r="A739" s="51"/>
      <c r="B739" s="54"/>
      <c r="C739" s="20"/>
      <c r="D739" s="20"/>
      <c r="E739" s="20"/>
      <c r="F739" s="20"/>
      <c r="G739" s="20"/>
      <c r="H739" s="11" t="str">
        <f aca="false">IF(B739="","",IFERROR(INDEX(Program!$H$2:$H$75,MATCH(B739,Program!$D$2:$D$75,0)),""))</f>
        <v/>
      </c>
      <c r="I739" s="11" t="str">
        <f aca="false">IF(B739="","",IFERROR(INDEX(Program!$I$2:$I$75,MATCH(B739,Program!$D$2:$D$75,0)),""))</f>
        <v/>
      </c>
      <c r="J739" s="11" t="str">
        <f aca="false">IF(COUNT(D739:G739)=0,"",COUNT(D739:G739))</f>
        <v/>
      </c>
      <c r="K739" s="12" t="str">
        <f aca="false">IF(OR(J739="",I739=""),"",IF(MIN(D739:G739)&gt;=I739,"Add load (smallest step)",IF(MAX(D739:G739)&lt;H739,"Below range: if again, drop 5–10%","Same load, add reps")))</f>
        <v/>
      </c>
      <c r="L739" s="20"/>
      <c r="M739" s="11" t="str">
        <f aca="false">IF(OR(L739="",C739="",H739="",C739=0),"",MAX(H739,ROUNDUP(30*((L739/C739)*(1+H739/30)-1),0)))</f>
        <v/>
      </c>
    </row>
    <row r="740" customFormat="false" ht="15" hidden="false" customHeight="false" outlineLevel="0" collapsed="false">
      <c r="A740" s="51"/>
      <c r="B740" s="54"/>
      <c r="C740" s="20"/>
      <c r="D740" s="20"/>
      <c r="E740" s="20"/>
      <c r="F740" s="20"/>
      <c r="G740" s="20"/>
      <c r="H740" s="11" t="str">
        <f aca="false">IF(B740="","",IFERROR(INDEX(Program!$H$2:$H$75,MATCH(B740,Program!$D$2:$D$75,0)),""))</f>
        <v/>
      </c>
      <c r="I740" s="11" t="str">
        <f aca="false">IF(B740="","",IFERROR(INDEX(Program!$I$2:$I$75,MATCH(B740,Program!$D$2:$D$75,0)),""))</f>
        <v/>
      </c>
      <c r="J740" s="11" t="str">
        <f aca="false">IF(COUNT(D740:G740)=0,"",COUNT(D740:G740))</f>
        <v/>
      </c>
      <c r="K740" s="12" t="str">
        <f aca="false">IF(OR(J740="",I740=""),"",IF(MIN(D740:G740)&gt;=I740,"Add load (smallest step)",IF(MAX(D740:G740)&lt;H740,"Below range: if again, drop 5–10%","Same load, add reps")))</f>
        <v/>
      </c>
      <c r="L740" s="20"/>
      <c r="M740" s="11" t="str">
        <f aca="false">IF(OR(L740="",C740="",H740="",C740=0),"",MAX(H740,ROUNDUP(30*((L740/C740)*(1+H740/30)-1),0)))</f>
        <v/>
      </c>
    </row>
    <row r="741" customFormat="false" ht="15" hidden="false" customHeight="false" outlineLevel="0" collapsed="false">
      <c r="A741" s="51"/>
      <c r="B741" s="54"/>
      <c r="C741" s="20"/>
      <c r="D741" s="20"/>
      <c r="E741" s="20"/>
      <c r="F741" s="20"/>
      <c r="G741" s="20"/>
      <c r="H741" s="11" t="str">
        <f aca="false">IF(B741="","",IFERROR(INDEX(Program!$H$2:$H$75,MATCH(B741,Program!$D$2:$D$75,0)),""))</f>
        <v/>
      </c>
      <c r="I741" s="11" t="str">
        <f aca="false">IF(B741="","",IFERROR(INDEX(Program!$I$2:$I$75,MATCH(B741,Program!$D$2:$D$75,0)),""))</f>
        <v/>
      </c>
      <c r="J741" s="11" t="str">
        <f aca="false">IF(COUNT(D741:G741)=0,"",COUNT(D741:G741))</f>
        <v/>
      </c>
      <c r="K741" s="12" t="str">
        <f aca="false">IF(OR(J741="",I741=""),"",IF(MIN(D741:G741)&gt;=I741,"Add load (smallest step)",IF(MAX(D741:G741)&lt;H741,"Below range: if again, drop 5–10%","Same load, add reps")))</f>
        <v/>
      </c>
      <c r="L741" s="20"/>
      <c r="M741" s="11" t="str">
        <f aca="false">IF(OR(L741="",C741="",H741="",C741=0),"",MAX(H741,ROUNDUP(30*((L741/C741)*(1+H741/30)-1),0)))</f>
        <v/>
      </c>
    </row>
    <row r="742" customFormat="false" ht="15" hidden="false" customHeight="false" outlineLevel="0" collapsed="false">
      <c r="A742" s="51"/>
      <c r="B742" s="54"/>
      <c r="C742" s="20"/>
      <c r="D742" s="20"/>
      <c r="E742" s="20"/>
      <c r="F742" s="20"/>
      <c r="G742" s="20"/>
      <c r="H742" s="11" t="str">
        <f aca="false">IF(B742="","",IFERROR(INDEX(Program!$H$2:$H$75,MATCH(B742,Program!$D$2:$D$75,0)),""))</f>
        <v/>
      </c>
      <c r="I742" s="11" t="str">
        <f aca="false">IF(B742="","",IFERROR(INDEX(Program!$I$2:$I$75,MATCH(B742,Program!$D$2:$D$75,0)),""))</f>
        <v/>
      </c>
      <c r="J742" s="11" t="str">
        <f aca="false">IF(COUNT(D742:G742)=0,"",COUNT(D742:G742))</f>
        <v/>
      </c>
      <c r="K742" s="12" t="str">
        <f aca="false">IF(OR(J742="",I742=""),"",IF(MIN(D742:G742)&gt;=I742,"Add load (smallest step)",IF(MAX(D742:G742)&lt;H742,"Below range: if again, drop 5–10%","Same load, add reps")))</f>
        <v/>
      </c>
      <c r="L742" s="20"/>
      <c r="M742" s="11" t="str">
        <f aca="false">IF(OR(L742="",C742="",H742="",C742=0),"",MAX(H742,ROUNDUP(30*((L742/C742)*(1+H742/30)-1),0)))</f>
        <v/>
      </c>
    </row>
    <row r="743" customFormat="false" ht="15" hidden="false" customHeight="false" outlineLevel="0" collapsed="false">
      <c r="A743" s="51"/>
      <c r="B743" s="54"/>
      <c r="C743" s="20"/>
      <c r="D743" s="20"/>
      <c r="E743" s="20"/>
      <c r="F743" s="20"/>
      <c r="G743" s="20"/>
      <c r="H743" s="11" t="str">
        <f aca="false">IF(B743="","",IFERROR(INDEX(Program!$H$2:$H$75,MATCH(B743,Program!$D$2:$D$75,0)),""))</f>
        <v/>
      </c>
      <c r="I743" s="11" t="str">
        <f aca="false">IF(B743="","",IFERROR(INDEX(Program!$I$2:$I$75,MATCH(B743,Program!$D$2:$D$75,0)),""))</f>
        <v/>
      </c>
      <c r="J743" s="11" t="str">
        <f aca="false">IF(COUNT(D743:G743)=0,"",COUNT(D743:G743))</f>
        <v/>
      </c>
      <c r="K743" s="12" t="str">
        <f aca="false">IF(OR(J743="",I743=""),"",IF(MIN(D743:G743)&gt;=I743,"Add load (smallest step)",IF(MAX(D743:G743)&lt;H743,"Below range: if again, drop 5–10%","Same load, add reps")))</f>
        <v/>
      </c>
      <c r="L743" s="20"/>
      <c r="M743" s="11" t="str">
        <f aca="false">IF(OR(L743="",C743="",H743="",C743=0),"",MAX(H743,ROUNDUP(30*((L743/C743)*(1+H743/30)-1),0)))</f>
        <v/>
      </c>
    </row>
    <row r="744" customFormat="false" ht="15" hidden="false" customHeight="false" outlineLevel="0" collapsed="false">
      <c r="A744" s="51"/>
      <c r="B744" s="54"/>
      <c r="C744" s="20"/>
      <c r="D744" s="20"/>
      <c r="E744" s="20"/>
      <c r="F744" s="20"/>
      <c r="G744" s="20"/>
      <c r="H744" s="11" t="str">
        <f aca="false">IF(B744="","",IFERROR(INDEX(Program!$H$2:$H$75,MATCH(B744,Program!$D$2:$D$75,0)),""))</f>
        <v/>
      </c>
      <c r="I744" s="11" t="str">
        <f aca="false">IF(B744="","",IFERROR(INDEX(Program!$I$2:$I$75,MATCH(B744,Program!$D$2:$D$75,0)),""))</f>
        <v/>
      </c>
      <c r="J744" s="11" t="str">
        <f aca="false">IF(COUNT(D744:G744)=0,"",COUNT(D744:G744))</f>
        <v/>
      </c>
      <c r="K744" s="12" t="str">
        <f aca="false">IF(OR(J744="",I744=""),"",IF(MIN(D744:G744)&gt;=I744,"Add load (smallest step)",IF(MAX(D744:G744)&lt;H744,"Below range: if again, drop 5–10%","Same load, add reps")))</f>
        <v/>
      </c>
      <c r="L744" s="20"/>
      <c r="M744" s="11" t="str">
        <f aca="false">IF(OR(L744="",C744="",H744="",C744=0),"",MAX(H744,ROUNDUP(30*((L744/C744)*(1+H744/30)-1),0)))</f>
        <v/>
      </c>
    </row>
    <row r="745" customFormat="false" ht="15" hidden="false" customHeight="false" outlineLevel="0" collapsed="false">
      <c r="A745" s="51"/>
      <c r="B745" s="54"/>
      <c r="C745" s="20"/>
      <c r="D745" s="20"/>
      <c r="E745" s="20"/>
      <c r="F745" s="20"/>
      <c r="G745" s="20"/>
      <c r="H745" s="11" t="str">
        <f aca="false">IF(B745="","",IFERROR(INDEX(Program!$H$2:$H$75,MATCH(B745,Program!$D$2:$D$75,0)),""))</f>
        <v/>
      </c>
      <c r="I745" s="11" t="str">
        <f aca="false">IF(B745="","",IFERROR(INDEX(Program!$I$2:$I$75,MATCH(B745,Program!$D$2:$D$75,0)),""))</f>
        <v/>
      </c>
      <c r="J745" s="11" t="str">
        <f aca="false">IF(COUNT(D745:G745)=0,"",COUNT(D745:G745))</f>
        <v/>
      </c>
      <c r="K745" s="12" t="str">
        <f aca="false">IF(OR(J745="",I745=""),"",IF(MIN(D745:G745)&gt;=I745,"Add load (smallest step)",IF(MAX(D745:G745)&lt;H745,"Below range: if again, drop 5–10%","Same load, add reps")))</f>
        <v/>
      </c>
      <c r="L745" s="20"/>
      <c r="M745" s="11" t="str">
        <f aca="false">IF(OR(L745="",C745="",H745="",C745=0),"",MAX(H745,ROUNDUP(30*((L745/C745)*(1+H745/30)-1),0)))</f>
        <v/>
      </c>
    </row>
    <row r="746" customFormat="false" ht="15" hidden="false" customHeight="false" outlineLevel="0" collapsed="false">
      <c r="A746" s="51"/>
      <c r="B746" s="54"/>
      <c r="C746" s="20"/>
      <c r="D746" s="20"/>
      <c r="E746" s="20"/>
      <c r="F746" s="20"/>
      <c r="G746" s="20"/>
      <c r="H746" s="11" t="str">
        <f aca="false">IF(B746="","",IFERROR(INDEX(Program!$H$2:$H$75,MATCH(B746,Program!$D$2:$D$75,0)),""))</f>
        <v/>
      </c>
      <c r="I746" s="11" t="str">
        <f aca="false">IF(B746="","",IFERROR(INDEX(Program!$I$2:$I$75,MATCH(B746,Program!$D$2:$D$75,0)),""))</f>
        <v/>
      </c>
      <c r="J746" s="11" t="str">
        <f aca="false">IF(COUNT(D746:G746)=0,"",COUNT(D746:G746))</f>
        <v/>
      </c>
      <c r="K746" s="12" t="str">
        <f aca="false">IF(OR(J746="",I746=""),"",IF(MIN(D746:G746)&gt;=I746,"Add load (smallest step)",IF(MAX(D746:G746)&lt;H746,"Below range: if again, drop 5–10%","Same load, add reps")))</f>
        <v/>
      </c>
      <c r="L746" s="20"/>
      <c r="M746" s="11" t="str">
        <f aca="false">IF(OR(L746="",C746="",H746="",C746=0),"",MAX(H746,ROUNDUP(30*((L746/C746)*(1+H746/30)-1),0)))</f>
        <v/>
      </c>
    </row>
    <row r="747" customFormat="false" ht="15" hidden="false" customHeight="false" outlineLevel="0" collapsed="false">
      <c r="A747" s="51"/>
      <c r="B747" s="54"/>
      <c r="C747" s="20"/>
      <c r="D747" s="20"/>
      <c r="E747" s="20"/>
      <c r="F747" s="20"/>
      <c r="G747" s="20"/>
      <c r="H747" s="11" t="str">
        <f aca="false">IF(B747="","",IFERROR(INDEX(Program!$H$2:$H$75,MATCH(B747,Program!$D$2:$D$75,0)),""))</f>
        <v/>
      </c>
      <c r="I747" s="11" t="str">
        <f aca="false">IF(B747="","",IFERROR(INDEX(Program!$I$2:$I$75,MATCH(B747,Program!$D$2:$D$75,0)),""))</f>
        <v/>
      </c>
      <c r="J747" s="11" t="str">
        <f aca="false">IF(COUNT(D747:G747)=0,"",COUNT(D747:G747))</f>
        <v/>
      </c>
      <c r="K747" s="12" t="str">
        <f aca="false">IF(OR(J747="",I747=""),"",IF(MIN(D747:G747)&gt;=I747,"Add load (smallest step)",IF(MAX(D747:G747)&lt;H747,"Below range: if again, drop 5–10%","Same load, add reps")))</f>
        <v/>
      </c>
      <c r="L747" s="20"/>
      <c r="M747" s="11" t="str">
        <f aca="false">IF(OR(L747="",C747="",H747="",C747=0),"",MAX(H747,ROUNDUP(30*((L747/C747)*(1+H747/30)-1),0)))</f>
        <v/>
      </c>
    </row>
    <row r="748" customFormat="false" ht="15" hidden="false" customHeight="false" outlineLevel="0" collapsed="false">
      <c r="A748" s="51"/>
      <c r="B748" s="54"/>
      <c r="C748" s="20"/>
      <c r="D748" s="20"/>
      <c r="E748" s="20"/>
      <c r="F748" s="20"/>
      <c r="G748" s="20"/>
      <c r="H748" s="11" t="str">
        <f aca="false">IF(B748="","",IFERROR(INDEX(Program!$H$2:$H$75,MATCH(B748,Program!$D$2:$D$75,0)),""))</f>
        <v/>
      </c>
      <c r="I748" s="11" t="str">
        <f aca="false">IF(B748="","",IFERROR(INDEX(Program!$I$2:$I$75,MATCH(B748,Program!$D$2:$D$75,0)),""))</f>
        <v/>
      </c>
      <c r="J748" s="11" t="str">
        <f aca="false">IF(COUNT(D748:G748)=0,"",COUNT(D748:G748))</f>
        <v/>
      </c>
      <c r="K748" s="12" t="str">
        <f aca="false">IF(OR(J748="",I748=""),"",IF(MIN(D748:G748)&gt;=I748,"Add load (smallest step)",IF(MAX(D748:G748)&lt;H748,"Below range: if again, drop 5–10%","Same load, add reps")))</f>
        <v/>
      </c>
      <c r="L748" s="20"/>
      <c r="M748" s="11" t="str">
        <f aca="false">IF(OR(L748="",C748="",H748="",C748=0),"",MAX(H748,ROUNDUP(30*((L748/C748)*(1+H748/30)-1),0)))</f>
        <v/>
      </c>
    </row>
    <row r="749" customFormat="false" ht="15" hidden="false" customHeight="false" outlineLevel="0" collapsed="false">
      <c r="A749" s="51"/>
      <c r="B749" s="54"/>
      <c r="C749" s="20"/>
      <c r="D749" s="20"/>
      <c r="E749" s="20"/>
      <c r="F749" s="20"/>
      <c r="G749" s="20"/>
      <c r="H749" s="11" t="str">
        <f aca="false">IF(B749="","",IFERROR(INDEX(Program!$H$2:$H$75,MATCH(B749,Program!$D$2:$D$75,0)),""))</f>
        <v/>
      </c>
      <c r="I749" s="11" t="str">
        <f aca="false">IF(B749="","",IFERROR(INDEX(Program!$I$2:$I$75,MATCH(B749,Program!$D$2:$D$75,0)),""))</f>
        <v/>
      </c>
      <c r="J749" s="11" t="str">
        <f aca="false">IF(COUNT(D749:G749)=0,"",COUNT(D749:G749))</f>
        <v/>
      </c>
      <c r="K749" s="12" t="str">
        <f aca="false">IF(OR(J749="",I749=""),"",IF(MIN(D749:G749)&gt;=I749,"Add load (smallest step)",IF(MAX(D749:G749)&lt;H749,"Below range: if again, drop 5–10%","Same load, add reps")))</f>
        <v/>
      </c>
      <c r="L749" s="20"/>
      <c r="M749" s="11" t="str">
        <f aca="false">IF(OR(L749="",C749="",H749="",C749=0),"",MAX(H749,ROUNDUP(30*((L749/C749)*(1+H749/30)-1),0)))</f>
        <v/>
      </c>
    </row>
    <row r="750" customFormat="false" ht="15" hidden="false" customHeight="false" outlineLevel="0" collapsed="false">
      <c r="A750" s="51"/>
      <c r="B750" s="54"/>
      <c r="C750" s="20"/>
      <c r="D750" s="20"/>
      <c r="E750" s="20"/>
      <c r="F750" s="20"/>
      <c r="G750" s="20"/>
      <c r="H750" s="11" t="str">
        <f aca="false">IF(B750="","",IFERROR(INDEX(Program!$H$2:$H$75,MATCH(B750,Program!$D$2:$D$75,0)),""))</f>
        <v/>
      </c>
      <c r="I750" s="11" t="str">
        <f aca="false">IF(B750="","",IFERROR(INDEX(Program!$I$2:$I$75,MATCH(B750,Program!$D$2:$D$75,0)),""))</f>
        <v/>
      </c>
      <c r="J750" s="11" t="str">
        <f aca="false">IF(COUNT(D750:G750)=0,"",COUNT(D750:G750))</f>
        <v/>
      </c>
      <c r="K750" s="12" t="str">
        <f aca="false">IF(OR(J750="",I750=""),"",IF(MIN(D750:G750)&gt;=I750,"Add load (smallest step)",IF(MAX(D750:G750)&lt;H750,"Below range: if again, drop 5–10%","Same load, add reps")))</f>
        <v/>
      </c>
      <c r="L750" s="20"/>
      <c r="M750" s="11" t="str">
        <f aca="false">IF(OR(L750="",C750="",H750="",C750=0),"",MAX(H750,ROUNDUP(30*((L750/C750)*(1+H750/30)-1),0)))</f>
        <v/>
      </c>
    </row>
    <row r="751" customFormat="false" ht="15" hidden="false" customHeight="false" outlineLevel="0" collapsed="false">
      <c r="A751" s="51"/>
      <c r="B751" s="54"/>
      <c r="C751" s="20"/>
      <c r="D751" s="20"/>
      <c r="E751" s="20"/>
      <c r="F751" s="20"/>
      <c r="G751" s="20"/>
      <c r="H751" s="11" t="str">
        <f aca="false">IF(B751="","",IFERROR(INDEX(Program!$H$2:$H$75,MATCH(B751,Program!$D$2:$D$75,0)),""))</f>
        <v/>
      </c>
      <c r="I751" s="11" t="str">
        <f aca="false">IF(B751="","",IFERROR(INDEX(Program!$I$2:$I$75,MATCH(B751,Program!$D$2:$D$75,0)),""))</f>
        <v/>
      </c>
      <c r="J751" s="11" t="str">
        <f aca="false">IF(COUNT(D751:G751)=0,"",COUNT(D751:G751))</f>
        <v/>
      </c>
      <c r="K751" s="12" t="str">
        <f aca="false">IF(OR(J751="",I751=""),"",IF(MIN(D751:G751)&gt;=I751,"Add load (smallest step)",IF(MAX(D751:G751)&lt;H751,"Below range: if again, drop 5–10%","Same load, add reps")))</f>
        <v/>
      </c>
      <c r="L751" s="20"/>
      <c r="M751" s="11" t="str">
        <f aca="false">IF(OR(L751="",C751="",H751="",C751=0),"",MAX(H751,ROUNDUP(30*((L751/C751)*(1+H751/30)-1),0)))</f>
        <v/>
      </c>
    </row>
    <row r="752" customFormat="false" ht="15" hidden="false" customHeight="false" outlineLevel="0" collapsed="false">
      <c r="A752" s="51"/>
      <c r="B752" s="54"/>
      <c r="C752" s="20"/>
      <c r="D752" s="20"/>
      <c r="E752" s="20"/>
      <c r="F752" s="20"/>
      <c r="G752" s="20"/>
      <c r="H752" s="11" t="str">
        <f aca="false">IF(B752="","",IFERROR(INDEX(Program!$H$2:$H$75,MATCH(B752,Program!$D$2:$D$75,0)),""))</f>
        <v/>
      </c>
      <c r="I752" s="11" t="str">
        <f aca="false">IF(B752="","",IFERROR(INDEX(Program!$I$2:$I$75,MATCH(B752,Program!$D$2:$D$75,0)),""))</f>
        <v/>
      </c>
      <c r="J752" s="11" t="str">
        <f aca="false">IF(COUNT(D752:G752)=0,"",COUNT(D752:G752))</f>
        <v/>
      </c>
      <c r="K752" s="12" t="str">
        <f aca="false">IF(OR(J752="",I752=""),"",IF(MIN(D752:G752)&gt;=I752,"Add load (smallest step)",IF(MAX(D752:G752)&lt;H752,"Below range: if again, drop 5–10%","Same load, add reps")))</f>
        <v/>
      </c>
      <c r="L752" s="20"/>
      <c r="M752" s="11" t="str">
        <f aca="false">IF(OR(L752="",C752="",H752="",C752=0),"",MAX(H752,ROUNDUP(30*((L752/C752)*(1+H752/30)-1),0)))</f>
        <v/>
      </c>
    </row>
    <row r="753" customFormat="false" ht="15" hidden="false" customHeight="false" outlineLevel="0" collapsed="false">
      <c r="A753" s="51"/>
      <c r="B753" s="54"/>
      <c r="C753" s="20"/>
      <c r="D753" s="20"/>
      <c r="E753" s="20"/>
      <c r="F753" s="20"/>
      <c r="G753" s="20"/>
      <c r="H753" s="11" t="str">
        <f aca="false">IF(B753="","",IFERROR(INDEX(Program!$H$2:$H$75,MATCH(B753,Program!$D$2:$D$75,0)),""))</f>
        <v/>
      </c>
      <c r="I753" s="11" t="str">
        <f aca="false">IF(B753="","",IFERROR(INDEX(Program!$I$2:$I$75,MATCH(B753,Program!$D$2:$D$75,0)),""))</f>
        <v/>
      </c>
      <c r="J753" s="11" t="str">
        <f aca="false">IF(COUNT(D753:G753)=0,"",COUNT(D753:G753))</f>
        <v/>
      </c>
      <c r="K753" s="12" t="str">
        <f aca="false">IF(OR(J753="",I753=""),"",IF(MIN(D753:G753)&gt;=I753,"Add load (smallest step)",IF(MAX(D753:G753)&lt;H753,"Below range: if again, drop 5–10%","Same load, add reps")))</f>
        <v/>
      </c>
      <c r="L753" s="20"/>
      <c r="M753" s="11" t="str">
        <f aca="false">IF(OR(L753="",C753="",H753="",C753=0),"",MAX(H753,ROUNDUP(30*((L753/C753)*(1+H753/30)-1),0)))</f>
        <v/>
      </c>
    </row>
    <row r="754" customFormat="false" ht="15" hidden="false" customHeight="false" outlineLevel="0" collapsed="false">
      <c r="A754" s="51"/>
      <c r="B754" s="54"/>
      <c r="C754" s="20"/>
      <c r="D754" s="20"/>
      <c r="E754" s="20"/>
      <c r="F754" s="20"/>
      <c r="G754" s="20"/>
      <c r="H754" s="11" t="str">
        <f aca="false">IF(B754="","",IFERROR(INDEX(Program!$H$2:$H$75,MATCH(B754,Program!$D$2:$D$75,0)),""))</f>
        <v/>
      </c>
      <c r="I754" s="11" t="str">
        <f aca="false">IF(B754="","",IFERROR(INDEX(Program!$I$2:$I$75,MATCH(B754,Program!$D$2:$D$75,0)),""))</f>
        <v/>
      </c>
      <c r="J754" s="11" t="str">
        <f aca="false">IF(COUNT(D754:G754)=0,"",COUNT(D754:G754))</f>
        <v/>
      </c>
      <c r="K754" s="12" t="str">
        <f aca="false">IF(OR(J754="",I754=""),"",IF(MIN(D754:G754)&gt;=I754,"Add load (smallest step)",IF(MAX(D754:G754)&lt;H754,"Below range: if again, drop 5–10%","Same load, add reps")))</f>
        <v/>
      </c>
      <c r="L754" s="20"/>
      <c r="M754" s="11" t="str">
        <f aca="false">IF(OR(L754="",C754="",H754="",C754=0),"",MAX(H754,ROUNDUP(30*((L754/C754)*(1+H754/30)-1),0)))</f>
        <v/>
      </c>
    </row>
    <row r="755" customFormat="false" ht="15" hidden="false" customHeight="false" outlineLevel="0" collapsed="false">
      <c r="A755" s="51"/>
      <c r="B755" s="54"/>
      <c r="C755" s="20"/>
      <c r="D755" s="20"/>
      <c r="E755" s="20"/>
      <c r="F755" s="20"/>
      <c r="G755" s="20"/>
      <c r="H755" s="11" t="str">
        <f aca="false">IF(B755="","",IFERROR(INDEX(Program!$H$2:$H$75,MATCH(B755,Program!$D$2:$D$75,0)),""))</f>
        <v/>
      </c>
      <c r="I755" s="11" t="str">
        <f aca="false">IF(B755="","",IFERROR(INDEX(Program!$I$2:$I$75,MATCH(B755,Program!$D$2:$D$75,0)),""))</f>
        <v/>
      </c>
      <c r="J755" s="11" t="str">
        <f aca="false">IF(COUNT(D755:G755)=0,"",COUNT(D755:G755))</f>
        <v/>
      </c>
      <c r="K755" s="12" t="str">
        <f aca="false">IF(OR(J755="",I755=""),"",IF(MIN(D755:G755)&gt;=I755,"Add load (smallest step)",IF(MAX(D755:G755)&lt;H755,"Below range: if again, drop 5–10%","Same load, add reps")))</f>
        <v/>
      </c>
      <c r="L755" s="20"/>
      <c r="M755" s="11" t="str">
        <f aca="false">IF(OR(L755="",C755="",H755="",C755=0),"",MAX(H755,ROUNDUP(30*((L755/C755)*(1+H755/30)-1),0)))</f>
        <v/>
      </c>
    </row>
    <row r="756" customFormat="false" ht="15" hidden="false" customHeight="false" outlineLevel="0" collapsed="false">
      <c r="A756" s="51"/>
      <c r="B756" s="54"/>
      <c r="C756" s="20"/>
      <c r="D756" s="20"/>
      <c r="E756" s="20"/>
      <c r="F756" s="20"/>
      <c r="G756" s="20"/>
      <c r="H756" s="11" t="str">
        <f aca="false">IF(B756="","",IFERROR(INDEX(Program!$H$2:$H$75,MATCH(B756,Program!$D$2:$D$75,0)),""))</f>
        <v/>
      </c>
      <c r="I756" s="11" t="str">
        <f aca="false">IF(B756="","",IFERROR(INDEX(Program!$I$2:$I$75,MATCH(B756,Program!$D$2:$D$75,0)),""))</f>
        <v/>
      </c>
      <c r="J756" s="11" t="str">
        <f aca="false">IF(COUNT(D756:G756)=0,"",COUNT(D756:G756))</f>
        <v/>
      </c>
      <c r="K756" s="12" t="str">
        <f aca="false">IF(OR(J756="",I756=""),"",IF(MIN(D756:G756)&gt;=I756,"Add load (smallest step)",IF(MAX(D756:G756)&lt;H756,"Below range: if again, drop 5–10%","Same load, add reps")))</f>
        <v/>
      </c>
      <c r="L756" s="20"/>
      <c r="M756" s="11" t="str">
        <f aca="false">IF(OR(L756="",C756="",H756="",C756=0),"",MAX(H756,ROUNDUP(30*((L756/C756)*(1+H756/30)-1),0)))</f>
        <v/>
      </c>
    </row>
    <row r="757" customFormat="false" ht="15" hidden="false" customHeight="false" outlineLevel="0" collapsed="false">
      <c r="A757" s="51"/>
      <c r="B757" s="54"/>
      <c r="C757" s="20"/>
      <c r="D757" s="20"/>
      <c r="E757" s="20"/>
      <c r="F757" s="20"/>
      <c r="G757" s="20"/>
      <c r="H757" s="11" t="str">
        <f aca="false">IF(B757="","",IFERROR(INDEX(Program!$H$2:$H$75,MATCH(B757,Program!$D$2:$D$75,0)),""))</f>
        <v/>
      </c>
      <c r="I757" s="11" t="str">
        <f aca="false">IF(B757="","",IFERROR(INDEX(Program!$I$2:$I$75,MATCH(B757,Program!$D$2:$D$75,0)),""))</f>
        <v/>
      </c>
      <c r="J757" s="11" t="str">
        <f aca="false">IF(COUNT(D757:G757)=0,"",COUNT(D757:G757))</f>
        <v/>
      </c>
      <c r="K757" s="12" t="str">
        <f aca="false">IF(OR(J757="",I757=""),"",IF(MIN(D757:G757)&gt;=I757,"Add load (smallest step)",IF(MAX(D757:G757)&lt;H757,"Below range: if again, drop 5–10%","Same load, add reps")))</f>
        <v/>
      </c>
      <c r="L757" s="20"/>
      <c r="M757" s="11" t="str">
        <f aca="false">IF(OR(L757="",C757="",H757="",C757=0),"",MAX(H757,ROUNDUP(30*((L757/C757)*(1+H757/30)-1),0)))</f>
        <v/>
      </c>
    </row>
    <row r="758" customFormat="false" ht="15" hidden="false" customHeight="false" outlineLevel="0" collapsed="false">
      <c r="A758" s="51"/>
      <c r="B758" s="54"/>
      <c r="C758" s="20"/>
      <c r="D758" s="20"/>
      <c r="E758" s="20"/>
      <c r="F758" s="20"/>
      <c r="G758" s="20"/>
      <c r="H758" s="11" t="str">
        <f aca="false">IF(B758="","",IFERROR(INDEX(Program!$H$2:$H$75,MATCH(B758,Program!$D$2:$D$75,0)),""))</f>
        <v/>
      </c>
      <c r="I758" s="11" t="str">
        <f aca="false">IF(B758="","",IFERROR(INDEX(Program!$I$2:$I$75,MATCH(B758,Program!$D$2:$D$75,0)),""))</f>
        <v/>
      </c>
      <c r="J758" s="11" t="str">
        <f aca="false">IF(COUNT(D758:G758)=0,"",COUNT(D758:G758))</f>
        <v/>
      </c>
      <c r="K758" s="12" t="str">
        <f aca="false">IF(OR(J758="",I758=""),"",IF(MIN(D758:G758)&gt;=I758,"Add load (smallest step)",IF(MAX(D758:G758)&lt;H758,"Below range: if again, drop 5–10%","Same load, add reps")))</f>
        <v/>
      </c>
      <c r="L758" s="20"/>
      <c r="M758" s="11" t="str">
        <f aca="false">IF(OR(L758="",C758="",H758="",C758=0),"",MAX(H758,ROUNDUP(30*((L758/C758)*(1+H758/30)-1),0)))</f>
        <v/>
      </c>
    </row>
    <row r="759" customFormat="false" ht="15" hidden="false" customHeight="false" outlineLevel="0" collapsed="false">
      <c r="A759" s="51"/>
      <c r="B759" s="54"/>
      <c r="C759" s="20"/>
      <c r="D759" s="20"/>
      <c r="E759" s="20"/>
      <c r="F759" s="20"/>
      <c r="G759" s="20"/>
      <c r="H759" s="11" t="str">
        <f aca="false">IF(B759="","",IFERROR(INDEX(Program!$H$2:$H$75,MATCH(B759,Program!$D$2:$D$75,0)),""))</f>
        <v/>
      </c>
      <c r="I759" s="11" t="str">
        <f aca="false">IF(B759="","",IFERROR(INDEX(Program!$I$2:$I$75,MATCH(B759,Program!$D$2:$D$75,0)),""))</f>
        <v/>
      </c>
      <c r="J759" s="11" t="str">
        <f aca="false">IF(COUNT(D759:G759)=0,"",COUNT(D759:G759))</f>
        <v/>
      </c>
      <c r="K759" s="12" t="str">
        <f aca="false">IF(OR(J759="",I759=""),"",IF(MIN(D759:G759)&gt;=I759,"Add load (smallest step)",IF(MAX(D759:G759)&lt;H759,"Below range: if again, drop 5–10%","Same load, add reps")))</f>
        <v/>
      </c>
      <c r="L759" s="20"/>
      <c r="M759" s="11" t="str">
        <f aca="false">IF(OR(L759="",C759="",H759="",C759=0),"",MAX(H759,ROUNDUP(30*((L759/C759)*(1+H759/30)-1),0)))</f>
        <v/>
      </c>
    </row>
    <row r="760" customFormat="false" ht="15" hidden="false" customHeight="false" outlineLevel="0" collapsed="false">
      <c r="A760" s="51"/>
      <c r="B760" s="54"/>
      <c r="C760" s="20"/>
      <c r="D760" s="20"/>
      <c r="E760" s="20"/>
      <c r="F760" s="20"/>
      <c r="G760" s="20"/>
      <c r="H760" s="11" t="str">
        <f aca="false">IF(B760="","",IFERROR(INDEX(Program!$H$2:$H$75,MATCH(B760,Program!$D$2:$D$75,0)),""))</f>
        <v/>
      </c>
      <c r="I760" s="11" t="str">
        <f aca="false">IF(B760="","",IFERROR(INDEX(Program!$I$2:$I$75,MATCH(B760,Program!$D$2:$D$75,0)),""))</f>
        <v/>
      </c>
      <c r="J760" s="11" t="str">
        <f aca="false">IF(COUNT(D760:G760)=0,"",COUNT(D760:G760))</f>
        <v/>
      </c>
      <c r="K760" s="12" t="str">
        <f aca="false">IF(OR(J760="",I760=""),"",IF(MIN(D760:G760)&gt;=I760,"Add load (smallest step)",IF(MAX(D760:G760)&lt;H760,"Below range: if again, drop 5–10%","Same load, add reps")))</f>
        <v/>
      </c>
      <c r="L760" s="20"/>
      <c r="M760" s="11" t="str">
        <f aca="false">IF(OR(L760="",C760="",H760="",C760=0),"",MAX(H760,ROUNDUP(30*((L760/C760)*(1+H760/30)-1),0)))</f>
        <v/>
      </c>
    </row>
    <row r="761" customFormat="false" ht="15" hidden="false" customHeight="false" outlineLevel="0" collapsed="false">
      <c r="A761" s="51"/>
      <c r="B761" s="54"/>
      <c r="C761" s="20"/>
      <c r="D761" s="20"/>
      <c r="E761" s="20"/>
      <c r="F761" s="20"/>
      <c r="G761" s="20"/>
      <c r="H761" s="11" t="str">
        <f aca="false">IF(B761="","",IFERROR(INDEX(Program!$H$2:$H$75,MATCH(B761,Program!$D$2:$D$75,0)),""))</f>
        <v/>
      </c>
      <c r="I761" s="11" t="str">
        <f aca="false">IF(B761="","",IFERROR(INDEX(Program!$I$2:$I$75,MATCH(B761,Program!$D$2:$D$75,0)),""))</f>
        <v/>
      </c>
      <c r="J761" s="11" t="str">
        <f aca="false">IF(COUNT(D761:G761)=0,"",COUNT(D761:G761))</f>
        <v/>
      </c>
      <c r="K761" s="12" t="str">
        <f aca="false">IF(OR(J761="",I761=""),"",IF(MIN(D761:G761)&gt;=I761,"Add load (smallest step)",IF(MAX(D761:G761)&lt;H761,"Below range: if again, drop 5–10%","Same load, add reps")))</f>
        <v/>
      </c>
      <c r="L761" s="20"/>
      <c r="M761" s="11" t="str">
        <f aca="false">IF(OR(L761="",C761="",H761="",C761=0),"",MAX(H761,ROUNDUP(30*((L761/C761)*(1+H761/30)-1),0)))</f>
        <v/>
      </c>
    </row>
    <row r="762" customFormat="false" ht="15" hidden="false" customHeight="false" outlineLevel="0" collapsed="false">
      <c r="A762" s="51"/>
      <c r="B762" s="54"/>
      <c r="C762" s="20"/>
      <c r="D762" s="20"/>
      <c r="E762" s="20"/>
      <c r="F762" s="20"/>
      <c r="G762" s="20"/>
      <c r="H762" s="11" t="str">
        <f aca="false">IF(B762="","",IFERROR(INDEX(Program!$H$2:$H$75,MATCH(B762,Program!$D$2:$D$75,0)),""))</f>
        <v/>
      </c>
      <c r="I762" s="11" t="str">
        <f aca="false">IF(B762="","",IFERROR(INDEX(Program!$I$2:$I$75,MATCH(B762,Program!$D$2:$D$75,0)),""))</f>
        <v/>
      </c>
      <c r="J762" s="11" t="str">
        <f aca="false">IF(COUNT(D762:G762)=0,"",COUNT(D762:G762))</f>
        <v/>
      </c>
      <c r="K762" s="12" t="str">
        <f aca="false">IF(OR(J762="",I762=""),"",IF(MIN(D762:G762)&gt;=I762,"Add load (smallest step)",IF(MAX(D762:G762)&lt;H762,"Below range: if again, drop 5–10%","Same load, add reps")))</f>
        <v/>
      </c>
      <c r="L762" s="20"/>
      <c r="M762" s="11" t="str">
        <f aca="false">IF(OR(L762="",C762="",H762="",C762=0),"",MAX(H762,ROUNDUP(30*((L762/C762)*(1+H762/30)-1),0)))</f>
        <v/>
      </c>
    </row>
    <row r="763" customFormat="false" ht="15" hidden="false" customHeight="false" outlineLevel="0" collapsed="false">
      <c r="A763" s="51"/>
      <c r="B763" s="54"/>
      <c r="C763" s="20"/>
      <c r="D763" s="20"/>
      <c r="E763" s="20"/>
      <c r="F763" s="20"/>
      <c r="G763" s="20"/>
      <c r="H763" s="11" t="str">
        <f aca="false">IF(B763="","",IFERROR(INDEX(Program!$H$2:$H$75,MATCH(B763,Program!$D$2:$D$75,0)),""))</f>
        <v/>
      </c>
      <c r="I763" s="11" t="str">
        <f aca="false">IF(B763="","",IFERROR(INDEX(Program!$I$2:$I$75,MATCH(B763,Program!$D$2:$D$75,0)),""))</f>
        <v/>
      </c>
      <c r="J763" s="11" t="str">
        <f aca="false">IF(COUNT(D763:G763)=0,"",COUNT(D763:G763))</f>
        <v/>
      </c>
      <c r="K763" s="12" t="str">
        <f aca="false">IF(OR(J763="",I763=""),"",IF(MIN(D763:G763)&gt;=I763,"Add load (smallest step)",IF(MAX(D763:G763)&lt;H763,"Below range: if again, drop 5–10%","Same load, add reps")))</f>
        <v/>
      </c>
      <c r="L763" s="20"/>
      <c r="M763" s="11" t="str">
        <f aca="false">IF(OR(L763="",C763="",H763="",C763=0),"",MAX(H763,ROUNDUP(30*((L763/C763)*(1+H763/30)-1),0)))</f>
        <v/>
      </c>
    </row>
    <row r="764" customFormat="false" ht="15" hidden="false" customHeight="false" outlineLevel="0" collapsed="false">
      <c r="A764" s="51"/>
      <c r="B764" s="54"/>
      <c r="C764" s="20"/>
      <c r="D764" s="20"/>
      <c r="E764" s="20"/>
      <c r="F764" s="20"/>
      <c r="G764" s="20"/>
      <c r="H764" s="11" t="str">
        <f aca="false">IF(B764="","",IFERROR(INDEX(Program!$H$2:$H$75,MATCH(B764,Program!$D$2:$D$75,0)),""))</f>
        <v/>
      </c>
      <c r="I764" s="11" t="str">
        <f aca="false">IF(B764="","",IFERROR(INDEX(Program!$I$2:$I$75,MATCH(B764,Program!$D$2:$D$75,0)),""))</f>
        <v/>
      </c>
      <c r="J764" s="11" t="str">
        <f aca="false">IF(COUNT(D764:G764)=0,"",COUNT(D764:G764))</f>
        <v/>
      </c>
      <c r="K764" s="12" t="str">
        <f aca="false">IF(OR(J764="",I764=""),"",IF(MIN(D764:G764)&gt;=I764,"Add load (smallest step)",IF(MAX(D764:G764)&lt;H764,"Below range: if again, drop 5–10%","Same load, add reps")))</f>
        <v/>
      </c>
      <c r="L764" s="20"/>
      <c r="M764" s="11" t="str">
        <f aca="false">IF(OR(L764="",C764="",H764="",C764=0),"",MAX(H764,ROUNDUP(30*((L764/C764)*(1+H764/30)-1),0)))</f>
        <v/>
      </c>
    </row>
    <row r="765" customFormat="false" ht="15" hidden="false" customHeight="false" outlineLevel="0" collapsed="false">
      <c r="A765" s="51"/>
      <c r="B765" s="54"/>
      <c r="C765" s="20"/>
      <c r="D765" s="20"/>
      <c r="E765" s="20"/>
      <c r="F765" s="20"/>
      <c r="G765" s="20"/>
      <c r="H765" s="11" t="str">
        <f aca="false">IF(B765="","",IFERROR(INDEX(Program!$H$2:$H$75,MATCH(B765,Program!$D$2:$D$75,0)),""))</f>
        <v/>
      </c>
      <c r="I765" s="11" t="str">
        <f aca="false">IF(B765="","",IFERROR(INDEX(Program!$I$2:$I$75,MATCH(B765,Program!$D$2:$D$75,0)),""))</f>
        <v/>
      </c>
      <c r="J765" s="11" t="str">
        <f aca="false">IF(COUNT(D765:G765)=0,"",COUNT(D765:G765))</f>
        <v/>
      </c>
      <c r="K765" s="12" t="str">
        <f aca="false">IF(OR(J765="",I765=""),"",IF(MIN(D765:G765)&gt;=I765,"Add load (smallest step)",IF(MAX(D765:G765)&lt;H765,"Below range: if again, drop 5–10%","Same load, add reps")))</f>
        <v/>
      </c>
      <c r="L765" s="20"/>
      <c r="M765" s="11" t="str">
        <f aca="false">IF(OR(L765="",C765="",H765="",C765=0),"",MAX(H765,ROUNDUP(30*((L765/C765)*(1+H765/30)-1),0)))</f>
        <v/>
      </c>
    </row>
    <row r="766" customFormat="false" ht="15" hidden="false" customHeight="false" outlineLevel="0" collapsed="false">
      <c r="A766" s="51"/>
      <c r="B766" s="54"/>
      <c r="C766" s="20"/>
      <c r="D766" s="20"/>
      <c r="E766" s="20"/>
      <c r="F766" s="20"/>
      <c r="G766" s="20"/>
      <c r="H766" s="11" t="str">
        <f aca="false">IF(B766="","",IFERROR(INDEX(Program!$H$2:$H$75,MATCH(B766,Program!$D$2:$D$75,0)),""))</f>
        <v/>
      </c>
      <c r="I766" s="11" t="str">
        <f aca="false">IF(B766="","",IFERROR(INDEX(Program!$I$2:$I$75,MATCH(B766,Program!$D$2:$D$75,0)),""))</f>
        <v/>
      </c>
      <c r="J766" s="11" t="str">
        <f aca="false">IF(COUNT(D766:G766)=0,"",COUNT(D766:G766))</f>
        <v/>
      </c>
      <c r="K766" s="12" t="str">
        <f aca="false">IF(OR(J766="",I766=""),"",IF(MIN(D766:G766)&gt;=I766,"Add load (smallest step)",IF(MAX(D766:G766)&lt;H766,"Below range: if again, drop 5–10%","Same load, add reps")))</f>
        <v/>
      </c>
      <c r="L766" s="20"/>
      <c r="M766" s="11" t="str">
        <f aca="false">IF(OR(L766="",C766="",H766="",C766=0),"",MAX(H766,ROUNDUP(30*((L766/C766)*(1+H766/30)-1),0)))</f>
        <v/>
      </c>
    </row>
    <row r="767" customFormat="false" ht="15" hidden="false" customHeight="false" outlineLevel="0" collapsed="false">
      <c r="A767" s="51"/>
      <c r="B767" s="54"/>
      <c r="C767" s="20"/>
      <c r="D767" s="20"/>
      <c r="E767" s="20"/>
      <c r="F767" s="20"/>
      <c r="G767" s="20"/>
      <c r="H767" s="11" t="str">
        <f aca="false">IF(B767="","",IFERROR(INDEX(Program!$H$2:$H$75,MATCH(B767,Program!$D$2:$D$75,0)),""))</f>
        <v/>
      </c>
      <c r="I767" s="11" t="str">
        <f aca="false">IF(B767="","",IFERROR(INDEX(Program!$I$2:$I$75,MATCH(B767,Program!$D$2:$D$75,0)),""))</f>
        <v/>
      </c>
      <c r="J767" s="11" t="str">
        <f aca="false">IF(COUNT(D767:G767)=0,"",COUNT(D767:G767))</f>
        <v/>
      </c>
      <c r="K767" s="12" t="str">
        <f aca="false">IF(OR(J767="",I767=""),"",IF(MIN(D767:G767)&gt;=I767,"Add load (smallest step)",IF(MAX(D767:G767)&lt;H767,"Below range: if again, drop 5–10%","Same load, add reps")))</f>
        <v/>
      </c>
      <c r="L767" s="20"/>
      <c r="M767" s="11" t="str">
        <f aca="false">IF(OR(L767="",C767="",H767="",C767=0),"",MAX(H767,ROUNDUP(30*((L767/C767)*(1+H767/30)-1),0)))</f>
        <v/>
      </c>
    </row>
    <row r="768" customFormat="false" ht="15" hidden="false" customHeight="false" outlineLevel="0" collapsed="false">
      <c r="A768" s="51"/>
      <c r="B768" s="54"/>
      <c r="C768" s="20"/>
      <c r="D768" s="20"/>
      <c r="E768" s="20"/>
      <c r="F768" s="20"/>
      <c r="G768" s="20"/>
      <c r="H768" s="11" t="str">
        <f aca="false">IF(B768="","",IFERROR(INDEX(Program!$H$2:$H$75,MATCH(B768,Program!$D$2:$D$75,0)),""))</f>
        <v/>
      </c>
      <c r="I768" s="11" t="str">
        <f aca="false">IF(B768="","",IFERROR(INDEX(Program!$I$2:$I$75,MATCH(B768,Program!$D$2:$D$75,0)),""))</f>
        <v/>
      </c>
      <c r="J768" s="11" t="str">
        <f aca="false">IF(COUNT(D768:G768)=0,"",COUNT(D768:G768))</f>
        <v/>
      </c>
      <c r="K768" s="12" t="str">
        <f aca="false">IF(OR(J768="",I768=""),"",IF(MIN(D768:G768)&gt;=I768,"Add load (smallest step)",IF(MAX(D768:G768)&lt;H768,"Below range: if again, drop 5–10%","Same load, add reps")))</f>
        <v/>
      </c>
      <c r="L768" s="20"/>
      <c r="M768" s="11" t="str">
        <f aca="false">IF(OR(L768="",C768="",H768="",C768=0),"",MAX(H768,ROUNDUP(30*((L768/C768)*(1+H768/30)-1),0)))</f>
        <v/>
      </c>
    </row>
    <row r="769" customFormat="false" ht="15" hidden="false" customHeight="false" outlineLevel="0" collapsed="false">
      <c r="A769" s="51"/>
      <c r="B769" s="54"/>
      <c r="C769" s="20"/>
      <c r="D769" s="20"/>
      <c r="E769" s="20"/>
      <c r="F769" s="20"/>
      <c r="G769" s="20"/>
      <c r="H769" s="11" t="str">
        <f aca="false">IF(B769="","",IFERROR(INDEX(Program!$H$2:$H$75,MATCH(B769,Program!$D$2:$D$75,0)),""))</f>
        <v/>
      </c>
      <c r="I769" s="11" t="str">
        <f aca="false">IF(B769="","",IFERROR(INDEX(Program!$I$2:$I$75,MATCH(B769,Program!$D$2:$D$75,0)),""))</f>
        <v/>
      </c>
      <c r="J769" s="11" t="str">
        <f aca="false">IF(COUNT(D769:G769)=0,"",COUNT(D769:G769))</f>
        <v/>
      </c>
      <c r="K769" s="12" t="str">
        <f aca="false">IF(OR(J769="",I769=""),"",IF(MIN(D769:G769)&gt;=I769,"Add load (smallest step)",IF(MAX(D769:G769)&lt;H769,"Below range: if again, drop 5–10%","Same load, add reps")))</f>
        <v/>
      </c>
      <c r="L769" s="20"/>
      <c r="M769" s="11" t="str">
        <f aca="false">IF(OR(L769="",C769="",H769="",C769=0),"",MAX(H769,ROUNDUP(30*((L769/C769)*(1+H769/30)-1),0)))</f>
        <v/>
      </c>
    </row>
    <row r="770" customFormat="false" ht="15" hidden="false" customHeight="false" outlineLevel="0" collapsed="false">
      <c r="A770" s="51"/>
      <c r="B770" s="54"/>
      <c r="C770" s="20"/>
      <c r="D770" s="20"/>
      <c r="E770" s="20"/>
      <c r="F770" s="20"/>
      <c r="G770" s="20"/>
      <c r="H770" s="11" t="str">
        <f aca="false">IF(B770="","",IFERROR(INDEX(Program!$H$2:$H$75,MATCH(B770,Program!$D$2:$D$75,0)),""))</f>
        <v/>
      </c>
      <c r="I770" s="11" t="str">
        <f aca="false">IF(B770="","",IFERROR(INDEX(Program!$I$2:$I$75,MATCH(B770,Program!$D$2:$D$75,0)),""))</f>
        <v/>
      </c>
      <c r="J770" s="11" t="str">
        <f aca="false">IF(COUNT(D770:G770)=0,"",COUNT(D770:G770))</f>
        <v/>
      </c>
      <c r="K770" s="12" t="str">
        <f aca="false">IF(OR(J770="",I770=""),"",IF(MIN(D770:G770)&gt;=I770,"Add load (smallest step)",IF(MAX(D770:G770)&lt;H770,"Below range: if again, drop 5–10%","Same load, add reps")))</f>
        <v/>
      </c>
      <c r="L770" s="20"/>
      <c r="M770" s="11" t="str">
        <f aca="false">IF(OR(L770="",C770="",H770="",C770=0),"",MAX(H770,ROUNDUP(30*((L770/C770)*(1+H770/30)-1),0)))</f>
        <v/>
      </c>
    </row>
    <row r="771" customFormat="false" ht="15" hidden="false" customHeight="false" outlineLevel="0" collapsed="false">
      <c r="A771" s="51"/>
      <c r="B771" s="54"/>
      <c r="C771" s="20"/>
      <c r="D771" s="20"/>
      <c r="E771" s="20"/>
      <c r="F771" s="20"/>
      <c r="G771" s="20"/>
      <c r="H771" s="11" t="str">
        <f aca="false">IF(B771="","",IFERROR(INDEX(Program!$H$2:$H$75,MATCH(B771,Program!$D$2:$D$75,0)),""))</f>
        <v/>
      </c>
      <c r="I771" s="11" t="str">
        <f aca="false">IF(B771="","",IFERROR(INDEX(Program!$I$2:$I$75,MATCH(B771,Program!$D$2:$D$75,0)),""))</f>
        <v/>
      </c>
      <c r="J771" s="11" t="str">
        <f aca="false">IF(COUNT(D771:G771)=0,"",COUNT(D771:G771))</f>
        <v/>
      </c>
      <c r="K771" s="12" t="str">
        <f aca="false">IF(OR(J771="",I771=""),"",IF(MIN(D771:G771)&gt;=I771,"Add load (smallest step)",IF(MAX(D771:G771)&lt;H771,"Below range: if again, drop 5–10%","Same load, add reps")))</f>
        <v/>
      </c>
      <c r="L771" s="20"/>
      <c r="M771" s="11" t="str">
        <f aca="false">IF(OR(L771="",C771="",H771="",C771=0),"",MAX(H771,ROUNDUP(30*((L771/C771)*(1+H771/30)-1),0)))</f>
        <v/>
      </c>
    </row>
    <row r="772" customFormat="false" ht="15" hidden="false" customHeight="false" outlineLevel="0" collapsed="false">
      <c r="A772" s="51"/>
      <c r="B772" s="54"/>
      <c r="C772" s="20"/>
      <c r="D772" s="20"/>
      <c r="E772" s="20"/>
      <c r="F772" s="20"/>
      <c r="G772" s="20"/>
      <c r="H772" s="11" t="str">
        <f aca="false">IF(B772="","",IFERROR(INDEX(Program!$H$2:$H$75,MATCH(B772,Program!$D$2:$D$75,0)),""))</f>
        <v/>
      </c>
      <c r="I772" s="11" t="str">
        <f aca="false">IF(B772="","",IFERROR(INDEX(Program!$I$2:$I$75,MATCH(B772,Program!$D$2:$D$75,0)),""))</f>
        <v/>
      </c>
      <c r="J772" s="11" t="str">
        <f aca="false">IF(COUNT(D772:G772)=0,"",COUNT(D772:G772))</f>
        <v/>
      </c>
      <c r="K772" s="12" t="str">
        <f aca="false">IF(OR(J772="",I772=""),"",IF(MIN(D772:G772)&gt;=I772,"Add load (smallest step)",IF(MAX(D772:G772)&lt;H772,"Below range: if again, drop 5–10%","Same load, add reps")))</f>
        <v/>
      </c>
      <c r="L772" s="20"/>
      <c r="M772" s="11" t="str">
        <f aca="false">IF(OR(L772="",C772="",H772="",C772=0),"",MAX(H772,ROUNDUP(30*((L772/C772)*(1+H772/30)-1),0)))</f>
        <v/>
      </c>
    </row>
    <row r="773" customFormat="false" ht="15" hidden="false" customHeight="false" outlineLevel="0" collapsed="false">
      <c r="A773" s="51"/>
      <c r="B773" s="54"/>
      <c r="C773" s="20"/>
      <c r="D773" s="20"/>
      <c r="E773" s="20"/>
      <c r="F773" s="20"/>
      <c r="G773" s="20"/>
      <c r="H773" s="11" t="str">
        <f aca="false">IF(B773="","",IFERROR(INDEX(Program!$H$2:$H$75,MATCH(B773,Program!$D$2:$D$75,0)),""))</f>
        <v/>
      </c>
      <c r="I773" s="11" t="str">
        <f aca="false">IF(B773="","",IFERROR(INDEX(Program!$I$2:$I$75,MATCH(B773,Program!$D$2:$D$75,0)),""))</f>
        <v/>
      </c>
      <c r="J773" s="11" t="str">
        <f aca="false">IF(COUNT(D773:G773)=0,"",COUNT(D773:G773))</f>
        <v/>
      </c>
      <c r="K773" s="12" t="str">
        <f aca="false">IF(OR(J773="",I773=""),"",IF(MIN(D773:G773)&gt;=I773,"Add load (smallest step)",IF(MAX(D773:G773)&lt;H773,"Below range: if again, drop 5–10%","Same load, add reps")))</f>
        <v/>
      </c>
      <c r="L773" s="20"/>
      <c r="M773" s="11" t="str">
        <f aca="false">IF(OR(L773="",C773="",H773="",C773=0),"",MAX(H773,ROUNDUP(30*((L773/C773)*(1+H773/30)-1),0)))</f>
        <v/>
      </c>
    </row>
    <row r="774" customFormat="false" ht="15" hidden="false" customHeight="false" outlineLevel="0" collapsed="false">
      <c r="A774" s="51"/>
      <c r="B774" s="54"/>
      <c r="C774" s="20"/>
      <c r="D774" s="20"/>
      <c r="E774" s="20"/>
      <c r="F774" s="20"/>
      <c r="G774" s="20"/>
      <c r="H774" s="11" t="str">
        <f aca="false">IF(B774="","",IFERROR(INDEX(Program!$H$2:$H$75,MATCH(B774,Program!$D$2:$D$75,0)),""))</f>
        <v/>
      </c>
      <c r="I774" s="11" t="str">
        <f aca="false">IF(B774="","",IFERROR(INDEX(Program!$I$2:$I$75,MATCH(B774,Program!$D$2:$D$75,0)),""))</f>
        <v/>
      </c>
      <c r="J774" s="11" t="str">
        <f aca="false">IF(COUNT(D774:G774)=0,"",COUNT(D774:G774))</f>
        <v/>
      </c>
      <c r="K774" s="12" t="str">
        <f aca="false">IF(OR(J774="",I774=""),"",IF(MIN(D774:G774)&gt;=I774,"Add load (smallest step)",IF(MAX(D774:G774)&lt;H774,"Below range: if again, drop 5–10%","Same load, add reps")))</f>
        <v/>
      </c>
      <c r="L774" s="20"/>
      <c r="M774" s="11" t="str">
        <f aca="false">IF(OR(L774="",C774="",H774="",C774=0),"",MAX(H774,ROUNDUP(30*((L774/C774)*(1+H774/30)-1),0)))</f>
        <v/>
      </c>
    </row>
    <row r="775" customFormat="false" ht="15" hidden="false" customHeight="false" outlineLevel="0" collapsed="false">
      <c r="A775" s="51"/>
      <c r="B775" s="54"/>
      <c r="C775" s="20"/>
      <c r="D775" s="20"/>
      <c r="E775" s="20"/>
      <c r="F775" s="20"/>
      <c r="G775" s="20"/>
      <c r="H775" s="11" t="str">
        <f aca="false">IF(B775="","",IFERROR(INDEX(Program!$H$2:$H$75,MATCH(B775,Program!$D$2:$D$75,0)),""))</f>
        <v/>
      </c>
      <c r="I775" s="11" t="str">
        <f aca="false">IF(B775="","",IFERROR(INDEX(Program!$I$2:$I$75,MATCH(B775,Program!$D$2:$D$75,0)),""))</f>
        <v/>
      </c>
      <c r="J775" s="11" t="str">
        <f aca="false">IF(COUNT(D775:G775)=0,"",COUNT(D775:G775))</f>
        <v/>
      </c>
      <c r="K775" s="12" t="str">
        <f aca="false">IF(OR(J775="",I775=""),"",IF(MIN(D775:G775)&gt;=I775,"Add load (smallest step)",IF(MAX(D775:G775)&lt;H775,"Below range: if again, drop 5–10%","Same load, add reps")))</f>
        <v/>
      </c>
      <c r="L775" s="20"/>
      <c r="M775" s="11" t="str">
        <f aca="false">IF(OR(L775="",C775="",H775="",C775=0),"",MAX(H775,ROUNDUP(30*((L775/C775)*(1+H775/30)-1),0)))</f>
        <v/>
      </c>
    </row>
    <row r="776" customFormat="false" ht="15" hidden="false" customHeight="false" outlineLevel="0" collapsed="false">
      <c r="A776" s="51"/>
      <c r="B776" s="54"/>
      <c r="C776" s="20"/>
      <c r="D776" s="20"/>
      <c r="E776" s="20"/>
      <c r="F776" s="20"/>
      <c r="G776" s="20"/>
      <c r="H776" s="11" t="str">
        <f aca="false">IF(B776="","",IFERROR(INDEX(Program!$H$2:$H$75,MATCH(B776,Program!$D$2:$D$75,0)),""))</f>
        <v/>
      </c>
      <c r="I776" s="11" t="str">
        <f aca="false">IF(B776="","",IFERROR(INDEX(Program!$I$2:$I$75,MATCH(B776,Program!$D$2:$D$75,0)),""))</f>
        <v/>
      </c>
      <c r="J776" s="11" t="str">
        <f aca="false">IF(COUNT(D776:G776)=0,"",COUNT(D776:G776))</f>
        <v/>
      </c>
      <c r="K776" s="12" t="str">
        <f aca="false">IF(OR(J776="",I776=""),"",IF(MIN(D776:G776)&gt;=I776,"Add load (smallest step)",IF(MAX(D776:G776)&lt;H776,"Below range: if again, drop 5–10%","Same load, add reps")))</f>
        <v/>
      </c>
      <c r="L776" s="20"/>
      <c r="M776" s="11" t="str">
        <f aca="false">IF(OR(L776="",C776="",H776="",C776=0),"",MAX(H776,ROUNDUP(30*((L776/C776)*(1+H776/30)-1),0)))</f>
        <v/>
      </c>
    </row>
    <row r="777" customFormat="false" ht="15" hidden="false" customHeight="false" outlineLevel="0" collapsed="false">
      <c r="A777" s="51"/>
      <c r="B777" s="54"/>
      <c r="C777" s="20"/>
      <c r="D777" s="20"/>
      <c r="E777" s="20"/>
      <c r="F777" s="20"/>
      <c r="G777" s="20"/>
      <c r="H777" s="11" t="str">
        <f aca="false">IF(B777="","",IFERROR(INDEX(Program!$H$2:$H$75,MATCH(B777,Program!$D$2:$D$75,0)),""))</f>
        <v/>
      </c>
      <c r="I777" s="11" t="str">
        <f aca="false">IF(B777="","",IFERROR(INDEX(Program!$I$2:$I$75,MATCH(B777,Program!$D$2:$D$75,0)),""))</f>
        <v/>
      </c>
      <c r="J777" s="11" t="str">
        <f aca="false">IF(COUNT(D777:G777)=0,"",COUNT(D777:G777))</f>
        <v/>
      </c>
      <c r="K777" s="12" t="str">
        <f aca="false">IF(OR(J777="",I777=""),"",IF(MIN(D777:G777)&gt;=I777,"Add load (smallest step)",IF(MAX(D777:G777)&lt;H777,"Below range: if again, drop 5–10%","Same load, add reps")))</f>
        <v/>
      </c>
      <c r="L777" s="20"/>
      <c r="M777" s="11" t="str">
        <f aca="false">IF(OR(L777="",C777="",H777="",C777=0),"",MAX(H777,ROUNDUP(30*((L777/C777)*(1+H777/30)-1),0)))</f>
        <v/>
      </c>
    </row>
    <row r="778" customFormat="false" ht="15" hidden="false" customHeight="false" outlineLevel="0" collapsed="false">
      <c r="A778" s="51"/>
      <c r="B778" s="54"/>
      <c r="C778" s="20"/>
      <c r="D778" s="20"/>
      <c r="E778" s="20"/>
      <c r="F778" s="20"/>
      <c r="G778" s="20"/>
      <c r="H778" s="11" t="str">
        <f aca="false">IF(B778="","",IFERROR(INDEX(Program!$H$2:$H$75,MATCH(B778,Program!$D$2:$D$75,0)),""))</f>
        <v/>
      </c>
      <c r="I778" s="11" t="str">
        <f aca="false">IF(B778="","",IFERROR(INDEX(Program!$I$2:$I$75,MATCH(B778,Program!$D$2:$D$75,0)),""))</f>
        <v/>
      </c>
      <c r="J778" s="11" t="str">
        <f aca="false">IF(COUNT(D778:G778)=0,"",COUNT(D778:G778))</f>
        <v/>
      </c>
      <c r="K778" s="12" t="str">
        <f aca="false">IF(OR(J778="",I778=""),"",IF(MIN(D778:G778)&gt;=I778,"Add load (smallest step)",IF(MAX(D778:G778)&lt;H778,"Below range: if again, drop 5–10%","Same load, add reps")))</f>
        <v/>
      </c>
      <c r="L778" s="20"/>
      <c r="M778" s="11" t="str">
        <f aca="false">IF(OR(L778="",C778="",H778="",C778=0),"",MAX(H778,ROUNDUP(30*((L778/C778)*(1+H778/30)-1),0)))</f>
        <v/>
      </c>
    </row>
    <row r="779" customFormat="false" ht="15" hidden="false" customHeight="false" outlineLevel="0" collapsed="false">
      <c r="A779" s="51"/>
      <c r="B779" s="54"/>
      <c r="C779" s="20"/>
      <c r="D779" s="20"/>
      <c r="E779" s="20"/>
      <c r="F779" s="20"/>
      <c r="G779" s="20"/>
      <c r="H779" s="11" t="str">
        <f aca="false">IF(B779="","",IFERROR(INDEX(Program!$H$2:$H$75,MATCH(B779,Program!$D$2:$D$75,0)),""))</f>
        <v/>
      </c>
      <c r="I779" s="11" t="str">
        <f aca="false">IF(B779="","",IFERROR(INDEX(Program!$I$2:$I$75,MATCH(B779,Program!$D$2:$D$75,0)),""))</f>
        <v/>
      </c>
      <c r="J779" s="11" t="str">
        <f aca="false">IF(COUNT(D779:G779)=0,"",COUNT(D779:G779))</f>
        <v/>
      </c>
      <c r="K779" s="12" t="str">
        <f aca="false">IF(OR(J779="",I779=""),"",IF(MIN(D779:G779)&gt;=I779,"Add load (smallest step)",IF(MAX(D779:G779)&lt;H779,"Below range: if again, drop 5–10%","Same load, add reps")))</f>
        <v/>
      </c>
      <c r="L779" s="20"/>
      <c r="M779" s="11" t="str">
        <f aca="false">IF(OR(L779="",C779="",H779="",C779=0),"",MAX(H779,ROUNDUP(30*((L779/C779)*(1+H779/30)-1),0)))</f>
        <v/>
      </c>
    </row>
    <row r="780" customFormat="false" ht="15" hidden="false" customHeight="false" outlineLevel="0" collapsed="false">
      <c r="A780" s="51"/>
      <c r="B780" s="54"/>
      <c r="C780" s="20"/>
      <c r="D780" s="20"/>
      <c r="E780" s="20"/>
      <c r="F780" s="20"/>
      <c r="G780" s="20"/>
      <c r="H780" s="11" t="str">
        <f aca="false">IF(B780="","",IFERROR(INDEX(Program!$H$2:$H$75,MATCH(B780,Program!$D$2:$D$75,0)),""))</f>
        <v/>
      </c>
      <c r="I780" s="11" t="str">
        <f aca="false">IF(B780="","",IFERROR(INDEX(Program!$I$2:$I$75,MATCH(B780,Program!$D$2:$D$75,0)),""))</f>
        <v/>
      </c>
      <c r="J780" s="11" t="str">
        <f aca="false">IF(COUNT(D780:G780)=0,"",COUNT(D780:G780))</f>
        <v/>
      </c>
      <c r="K780" s="12" t="str">
        <f aca="false">IF(OR(J780="",I780=""),"",IF(MIN(D780:G780)&gt;=I780,"Add load (smallest step)",IF(MAX(D780:G780)&lt;H780,"Below range: if again, drop 5–10%","Same load, add reps")))</f>
        <v/>
      </c>
      <c r="L780" s="20"/>
      <c r="M780" s="11" t="str">
        <f aca="false">IF(OR(L780="",C780="",H780="",C780=0),"",MAX(H780,ROUNDUP(30*((L780/C780)*(1+H780/30)-1),0)))</f>
        <v/>
      </c>
    </row>
    <row r="781" customFormat="false" ht="15" hidden="false" customHeight="false" outlineLevel="0" collapsed="false">
      <c r="A781" s="51"/>
      <c r="B781" s="54"/>
      <c r="C781" s="20"/>
      <c r="D781" s="20"/>
      <c r="E781" s="20"/>
      <c r="F781" s="20"/>
      <c r="G781" s="20"/>
      <c r="H781" s="11" t="str">
        <f aca="false">IF(B781="","",IFERROR(INDEX(Program!$H$2:$H$75,MATCH(B781,Program!$D$2:$D$75,0)),""))</f>
        <v/>
      </c>
      <c r="I781" s="11" t="str">
        <f aca="false">IF(B781="","",IFERROR(INDEX(Program!$I$2:$I$75,MATCH(B781,Program!$D$2:$D$75,0)),""))</f>
        <v/>
      </c>
      <c r="J781" s="11" t="str">
        <f aca="false">IF(COUNT(D781:G781)=0,"",COUNT(D781:G781))</f>
        <v/>
      </c>
      <c r="K781" s="12" t="str">
        <f aca="false">IF(OR(J781="",I781=""),"",IF(MIN(D781:G781)&gt;=I781,"Add load (smallest step)",IF(MAX(D781:G781)&lt;H781,"Below range: if again, drop 5–10%","Same load, add reps")))</f>
        <v/>
      </c>
      <c r="L781" s="20"/>
      <c r="M781" s="11" t="str">
        <f aca="false">IF(OR(L781="",C781="",H781="",C781=0),"",MAX(H781,ROUNDUP(30*((L781/C781)*(1+H781/30)-1),0)))</f>
        <v/>
      </c>
    </row>
    <row r="782" customFormat="false" ht="15" hidden="false" customHeight="false" outlineLevel="0" collapsed="false">
      <c r="A782" s="51"/>
      <c r="B782" s="54"/>
      <c r="C782" s="20"/>
      <c r="D782" s="20"/>
      <c r="E782" s="20"/>
      <c r="F782" s="20"/>
      <c r="G782" s="20"/>
      <c r="H782" s="11" t="str">
        <f aca="false">IF(B782="","",IFERROR(INDEX(Program!$H$2:$H$75,MATCH(B782,Program!$D$2:$D$75,0)),""))</f>
        <v/>
      </c>
      <c r="I782" s="11" t="str">
        <f aca="false">IF(B782="","",IFERROR(INDEX(Program!$I$2:$I$75,MATCH(B782,Program!$D$2:$D$75,0)),""))</f>
        <v/>
      </c>
      <c r="J782" s="11" t="str">
        <f aca="false">IF(COUNT(D782:G782)=0,"",COUNT(D782:G782))</f>
        <v/>
      </c>
      <c r="K782" s="12" t="str">
        <f aca="false">IF(OR(J782="",I782=""),"",IF(MIN(D782:G782)&gt;=I782,"Add load (smallest step)",IF(MAX(D782:G782)&lt;H782,"Below range: if again, drop 5–10%","Same load, add reps")))</f>
        <v/>
      </c>
      <c r="L782" s="20"/>
      <c r="M782" s="11" t="str">
        <f aca="false">IF(OR(L782="",C782="",H782="",C782=0),"",MAX(H782,ROUNDUP(30*((L782/C782)*(1+H782/30)-1),0)))</f>
        <v/>
      </c>
    </row>
    <row r="783" customFormat="false" ht="15" hidden="false" customHeight="false" outlineLevel="0" collapsed="false">
      <c r="A783" s="51"/>
      <c r="B783" s="54"/>
      <c r="C783" s="20"/>
      <c r="D783" s="20"/>
      <c r="E783" s="20"/>
      <c r="F783" s="20"/>
      <c r="G783" s="20"/>
      <c r="H783" s="11" t="str">
        <f aca="false">IF(B783="","",IFERROR(INDEX(Program!$H$2:$H$75,MATCH(B783,Program!$D$2:$D$75,0)),""))</f>
        <v/>
      </c>
      <c r="I783" s="11" t="str">
        <f aca="false">IF(B783="","",IFERROR(INDEX(Program!$I$2:$I$75,MATCH(B783,Program!$D$2:$D$75,0)),""))</f>
        <v/>
      </c>
      <c r="J783" s="11" t="str">
        <f aca="false">IF(COUNT(D783:G783)=0,"",COUNT(D783:G783))</f>
        <v/>
      </c>
      <c r="K783" s="12" t="str">
        <f aca="false">IF(OR(J783="",I783=""),"",IF(MIN(D783:G783)&gt;=I783,"Add load (smallest step)",IF(MAX(D783:G783)&lt;H783,"Below range: if again, drop 5–10%","Same load, add reps")))</f>
        <v/>
      </c>
      <c r="L783" s="20"/>
      <c r="M783" s="11" t="str">
        <f aca="false">IF(OR(L783="",C783="",H783="",C783=0),"",MAX(H783,ROUNDUP(30*((L783/C783)*(1+H783/30)-1),0)))</f>
        <v/>
      </c>
    </row>
    <row r="784" customFormat="false" ht="15" hidden="false" customHeight="false" outlineLevel="0" collapsed="false">
      <c r="A784" s="51"/>
      <c r="B784" s="54"/>
      <c r="C784" s="20"/>
      <c r="D784" s="20"/>
      <c r="E784" s="20"/>
      <c r="F784" s="20"/>
      <c r="G784" s="20"/>
      <c r="H784" s="11" t="str">
        <f aca="false">IF(B784="","",IFERROR(INDEX(Program!$H$2:$H$75,MATCH(B784,Program!$D$2:$D$75,0)),""))</f>
        <v/>
      </c>
      <c r="I784" s="11" t="str">
        <f aca="false">IF(B784="","",IFERROR(INDEX(Program!$I$2:$I$75,MATCH(B784,Program!$D$2:$D$75,0)),""))</f>
        <v/>
      </c>
      <c r="J784" s="11" t="str">
        <f aca="false">IF(COUNT(D784:G784)=0,"",COUNT(D784:G784))</f>
        <v/>
      </c>
      <c r="K784" s="12" t="str">
        <f aca="false">IF(OR(J784="",I784=""),"",IF(MIN(D784:G784)&gt;=I784,"Add load (smallest step)",IF(MAX(D784:G784)&lt;H784,"Below range: if again, drop 5–10%","Same load, add reps")))</f>
        <v/>
      </c>
      <c r="L784" s="20"/>
      <c r="M784" s="11" t="str">
        <f aca="false">IF(OR(L784="",C784="",H784="",C784=0),"",MAX(H784,ROUNDUP(30*((L784/C784)*(1+H784/30)-1),0)))</f>
        <v/>
      </c>
    </row>
    <row r="785" customFormat="false" ht="15" hidden="false" customHeight="false" outlineLevel="0" collapsed="false">
      <c r="A785" s="51"/>
      <c r="B785" s="54"/>
      <c r="C785" s="20"/>
      <c r="D785" s="20"/>
      <c r="E785" s="20"/>
      <c r="F785" s="20"/>
      <c r="G785" s="20"/>
      <c r="H785" s="11" t="str">
        <f aca="false">IF(B785="","",IFERROR(INDEX(Program!$H$2:$H$75,MATCH(B785,Program!$D$2:$D$75,0)),""))</f>
        <v/>
      </c>
      <c r="I785" s="11" t="str">
        <f aca="false">IF(B785="","",IFERROR(INDEX(Program!$I$2:$I$75,MATCH(B785,Program!$D$2:$D$75,0)),""))</f>
        <v/>
      </c>
      <c r="J785" s="11" t="str">
        <f aca="false">IF(COUNT(D785:G785)=0,"",COUNT(D785:G785))</f>
        <v/>
      </c>
      <c r="K785" s="12" t="str">
        <f aca="false">IF(OR(J785="",I785=""),"",IF(MIN(D785:G785)&gt;=I785,"Add load (smallest step)",IF(MAX(D785:G785)&lt;H785,"Below range: if again, drop 5–10%","Same load, add reps")))</f>
        <v/>
      </c>
      <c r="L785" s="20"/>
      <c r="M785" s="11" t="str">
        <f aca="false">IF(OR(L785="",C785="",H785="",C785=0),"",MAX(H785,ROUNDUP(30*((L785/C785)*(1+H785/30)-1),0)))</f>
        <v/>
      </c>
    </row>
    <row r="786" customFormat="false" ht="15" hidden="false" customHeight="false" outlineLevel="0" collapsed="false">
      <c r="A786" s="51"/>
      <c r="B786" s="54"/>
      <c r="C786" s="20"/>
      <c r="D786" s="20"/>
      <c r="E786" s="20"/>
      <c r="F786" s="20"/>
      <c r="G786" s="20"/>
      <c r="H786" s="11" t="str">
        <f aca="false">IF(B786="","",IFERROR(INDEX(Program!$H$2:$H$75,MATCH(B786,Program!$D$2:$D$75,0)),""))</f>
        <v/>
      </c>
      <c r="I786" s="11" t="str">
        <f aca="false">IF(B786="","",IFERROR(INDEX(Program!$I$2:$I$75,MATCH(B786,Program!$D$2:$D$75,0)),""))</f>
        <v/>
      </c>
      <c r="J786" s="11" t="str">
        <f aca="false">IF(COUNT(D786:G786)=0,"",COUNT(D786:G786))</f>
        <v/>
      </c>
      <c r="K786" s="12" t="str">
        <f aca="false">IF(OR(J786="",I786=""),"",IF(MIN(D786:G786)&gt;=I786,"Add load (smallest step)",IF(MAX(D786:G786)&lt;H786,"Below range: if again, drop 5–10%","Same load, add reps")))</f>
        <v/>
      </c>
      <c r="L786" s="20"/>
      <c r="M786" s="11" t="str">
        <f aca="false">IF(OR(L786="",C786="",H786="",C786=0),"",MAX(H786,ROUNDUP(30*((L786/C786)*(1+H786/30)-1),0)))</f>
        <v/>
      </c>
    </row>
    <row r="787" customFormat="false" ht="15" hidden="false" customHeight="false" outlineLevel="0" collapsed="false">
      <c r="A787" s="51"/>
      <c r="B787" s="54"/>
      <c r="C787" s="20"/>
      <c r="D787" s="20"/>
      <c r="E787" s="20"/>
      <c r="F787" s="20"/>
      <c r="G787" s="20"/>
      <c r="H787" s="11" t="str">
        <f aca="false">IF(B787="","",IFERROR(INDEX(Program!$H$2:$H$75,MATCH(B787,Program!$D$2:$D$75,0)),""))</f>
        <v/>
      </c>
      <c r="I787" s="11" t="str">
        <f aca="false">IF(B787="","",IFERROR(INDEX(Program!$I$2:$I$75,MATCH(B787,Program!$D$2:$D$75,0)),""))</f>
        <v/>
      </c>
      <c r="J787" s="11" t="str">
        <f aca="false">IF(COUNT(D787:G787)=0,"",COUNT(D787:G787))</f>
        <v/>
      </c>
      <c r="K787" s="12" t="str">
        <f aca="false">IF(OR(J787="",I787=""),"",IF(MIN(D787:G787)&gt;=I787,"Add load (smallest step)",IF(MAX(D787:G787)&lt;H787,"Below range: if again, drop 5–10%","Same load, add reps")))</f>
        <v/>
      </c>
      <c r="L787" s="20"/>
      <c r="M787" s="11" t="str">
        <f aca="false">IF(OR(L787="",C787="",H787="",C787=0),"",MAX(H787,ROUNDUP(30*((L787/C787)*(1+H787/30)-1),0)))</f>
        <v/>
      </c>
    </row>
    <row r="788" customFormat="false" ht="15" hidden="false" customHeight="false" outlineLevel="0" collapsed="false">
      <c r="A788" s="51"/>
      <c r="B788" s="54"/>
      <c r="C788" s="20"/>
      <c r="D788" s="20"/>
      <c r="E788" s="20"/>
      <c r="F788" s="20"/>
      <c r="G788" s="20"/>
      <c r="H788" s="11" t="str">
        <f aca="false">IF(B788="","",IFERROR(INDEX(Program!$H$2:$H$75,MATCH(B788,Program!$D$2:$D$75,0)),""))</f>
        <v/>
      </c>
      <c r="I788" s="11" t="str">
        <f aca="false">IF(B788="","",IFERROR(INDEX(Program!$I$2:$I$75,MATCH(B788,Program!$D$2:$D$75,0)),""))</f>
        <v/>
      </c>
      <c r="J788" s="11" t="str">
        <f aca="false">IF(COUNT(D788:G788)=0,"",COUNT(D788:G788))</f>
        <v/>
      </c>
      <c r="K788" s="12" t="str">
        <f aca="false">IF(OR(J788="",I788=""),"",IF(MIN(D788:G788)&gt;=I788,"Add load (smallest step)",IF(MAX(D788:G788)&lt;H788,"Below range: if again, drop 5–10%","Same load, add reps")))</f>
        <v/>
      </c>
      <c r="L788" s="20"/>
      <c r="M788" s="11" t="str">
        <f aca="false">IF(OR(L788="",C788="",H788="",C788=0),"",MAX(H788,ROUNDUP(30*((L788/C788)*(1+H788/30)-1),0)))</f>
        <v/>
      </c>
    </row>
    <row r="789" customFormat="false" ht="15" hidden="false" customHeight="false" outlineLevel="0" collapsed="false">
      <c r="A789" s="51"/>
      <c r="B789" s="54"/>
      <c r="C789" s="20"/>
      <c r="D789" s="20"/>
      <c r="E789" s="20"/>
      <c r="F789" s="20"/>
      <c r="G789" s="20"/>
      <c r="H789" s="11" t="str">
        <f aca="false">IF(B789="","",IFERROR(INDEX(Program!$H$2:$H$75,MATCH(B789,Program!$D$2:$D$75,0)),""))</f>
        <v/>
      </c>
      <c r="I789" s="11" t="str">
        <f aca="false">IF(B789="","",IFERROR(INDEX(Program!$I$2:$I$75,MATCH(B789,Program!$D$2:$D$75,0)),""))</f>
        <v/>
      </c>
      <c r="J789" s="11" t="str">
        <f aca="false">IF(COUNT(D789:G789)=0,"",COUNT(D789:G789))</f>
        <v/>
      </c>
      <c r="K789" s="12" t="str">
        <f aca="false">IF(OR(J789="",I789=""),"",IF(MIN(D789:G789)&gt;=I789,"Add load (smallest step)",IF(MAX(D789:G789)&lt;H789,"Below range: if again, drop 5–10%","Same load, add reps")))</f>
        <v/>
      </c>
      <c r="L789" s="20"/>
      <c r="M789" s="11" t="str">
        <f aca="false">IF(OR(L789="",C789="",H789="",C789=0),"",MAX(H789,ROUNDUP(30*((L789/C789)*(1+H789/30)-1),0)))</f>
        <v/>
      </c>
    </row>
    <row r="790" customFormat="false" ht="15" hidden="false" customHeight="false" outlineLevel="0" collapsed="false">
      <c r="A790" s="51"/>
      <c r="B790" s="54"/>
      <c r="C790" s="20"/>
      <c r="D790" s="20"/>
      <c r="E790" s="20"/>
      <c r="F790" s="20"/>
      <c r="G790" s="20"/>
      <c r="H790" s="11" t="str">
        <f aca="false">IF(B790="","",IFERROR(INDEX(Program!$H$2:$H$75,MATCH(B790,Program!$D$2:$D$75,0)),""))</f>
        <v/>
      </c>
      <c r="I790" s="11" t="str">
        <f aca="false">IF(B790="","",IFERROR(INDEX(Program!$I$2:$I$75,MATCH(B790,Program!$D$2:$D$75,0)),""))</f>
        <v/>
      </c>
      <c r="J790" s="11" t="str">
        <f aca="false">IF(COUNT(D790:G790)=0,"",COUNT(D790:G790))</f>
        <v/>
      </c>
      <c r="K790" s="12" t="str">
        <f aca="false">IF(OR(J790="",I790=""),"",IF(MIN(D790:G790)&gt;=I790,"Add load (smallest step)",IF(MAX(D790:G790)&lt;H790,"Below range: if again, drop 5–10%","Same load, add reps")))</f>
        <v/>
      </c>
      <c r="L790" s="20"/>
      <c r="M790" s="11" t="str">
        <f aca="false">IF(OR(L790="",C790="",H790="",C790=0),"",MAX(H790,ROUNDUP(30*((L790/C790)*(1+H790/30)-1),0)))</f>
        <v/>
      </c>
    </row>
    <row r="791" customFormat="false" ht="15" hidden="false" customHeight="false" outlineLevel="0" collapsed="false">
      <c r="A791" s="51"/>
      <c r="B791" s="54"/>
      <c r="C791" s="20"/>
      <c r="D791" s="20"/>
      <c r="E791" s="20"/>
      <c r="F791" s="20"/>
      <c r="G791" s="20"/>
      <c r="H791" s="11" t="str">
        <f aca="false">IF(B791="","",IFERROR(INDEX(Program!$H$2:$H$75,MATCH(B791,Program!$D$2:$D$75,0)),""))</f>
        <v/>
      </c>
      <c r="I791" s="11" t="str">
        <f aca="false">IF(B791="","",IFERROR(INDEX(Program!$I$2:$I$75,MATCH(B791,Program!$D$2:$D$75,0)),""))</f>
        <v/>
      </c>
      <c r="J791" s="11" t="str">
        <f aca="false">IF(COUNT(D791:G791)=0,"",COUNT(D791:G791))</f>
        <v/>
      </c>
      <c r="K791" s="12" t="str">
        <f aca="false">IF(OR(J791="",I791=""),"",IF(MIN(D791:G791)&gt;=I791,"Add load (smallest step)",IF(MAX(D791:G791)&lt;H791,"Below range: if again, drop 5–10%","Same load, add reps")))</f>
        <v/>
      </c>
      <c r="L791" s="20"/>
      <c r="M791" s="11" t="str">
        <f aca="false">IF(OR(L791="",C791="",H791="",C791=0),"",MAX(H791,ROUNDUP(30*((L791/C791)*(1+H791/30)-1),0)))</f>
        <v/>
      </c>
    </row>
    <row r="792" customFormat="false" ht="15" hidden="false" customHeight="false" outlineLevel="0" collapsed="false">
      <c r="A792" s="51"/>
      <c r="B792" s="54"/>
      <c r="C792" s="20"/>
      <c r="D792" s="20"/>
      <c r="E792" s="20"/>
      <c r="F792" s="20"/>
      <c r="G792" s="20"/>
      <c r="H792" s="11" t="str">
        <f aca="false">IF(B792="","",IFERROR(INDEX(Program!$H$2:$H$75,MATCH(B792,Program!$D$2:$D$75,0)),""))</f>
        <v/>
      </c>
      <c r="I792" s="11" t="str">
        <f aca="false">IF(B792="","",IFERROR(INDEX(Program!$I$2:$I$75,MATCH(B792,Program!$D$2:$D$75,0)),""))</f>
        <v/>
      </c>
      <c r="J792" s="11" t="str">
        <f aca="false">IF(COUNT(D792:G792)=0,"",COUNT(D792:G792))</f>
        <v/>
      </c>
      <c r="K792" s="12" t="str">
        <f aca="false">IF(OR(J792="",I792=""),"",IF(MIN(D792:G792)&gt;=I792,"Add load (smallest step)",IF(MAX(D792:G792)&lt;H792,"Below range: if again, drop 5–10%","Same load, add reps")))</f>
        <v/>
      </c>
      <c r="L792" s="20"/>
      <c r="M792" s="11" t="str">
        <f aca="false">IF(OR(L792="",C792="",H792="",C792=0),"",MAX(H792,ROUNDUP(30*((L792/C792)*(1+H792/30)-1),0)))</f>
        <v/>
      </c>
    </row>
    <row r="793" customFormat="false" ht="15" hidden="false" customHeight="false" outlineLevel="0" collapsed="false">
      <c r="A793" s="51"/>
      <c r="B793" s="54"/>
      <c r="C793" s="20"/>
      <c r="D793" s="20"/>
      <c r="E793" s="20"/>
      <c r="F793" s="20"/>
      <c r="G793" s="20"/>
      <c r="H793" s="11" t="str">
        <f aca="false">IF(B793="","",IFERROR(INDEX(Program!$H$2:$H$75,MATCH(B793,Program!$D$2:$D$75,0)),""))</f>
        <v/>
      </c>
      <c r="I793" s="11" t="str">
        <f aca="false">IF(B793="","",IFERROR(INDEX(Program!$I$2:$I$75,MATCH(B793,Program!$D$2:$D$75,0)),""))</f>
        <v/>
      </c>
      <c r="J793" s="11" t="str">
        <f aca="false">IF(COUNT(D793:G793)=0,"",COUNT(D793:G793))</f>
        <v/>
      </c>
      <c r="K793" s="12" t="str">
        <f aca="false">IF(OR(J793="",I793=""),"",IF(MIN(D793:G793)&gt;=I793,"Add load (smallest step)",IF(MAX(D793:G793)&lt;H793,"Below range: if again, drop 5–10%","Same load, add reps")))</f>
        <v/>
      </c>
      <c r="L793" s="20"/>
      <c r="M793" s="11" t="str">
        <f aca="false">IF(OR(L793="",C793="",H793="",C793=0),"",MAX(H793,ROUNDUP(30*((L793/C793)*(1+H793/30)-1),0)))</f>
        <v/>
      </c>
    </row>
    <row r="794" customFormat="false" ht="15" hidden="false" customHeight="false" outlineLevel="0" collapsed="false">
      <c r="A794" s="51"/>
      <c r="B794" s="54"/>
      <c r="C794" s="20"/>
      <c r="D794" s="20"/>
      <c r="E794" s="20"/>
      <c r="F794" s="20"/>
      <c r="G794" s="20"/>
      <c r="H794" s="11" t="str">
        <f aca="false">IF(B794="","",IFERROR(INDEX(Program!$H$2:$H$75,MATCH(B794,Program!$D$2:$D$75,0)),""))</f>
        <v/>
      </c>
      <c r="I794" s="11" t="str">
        <f aca="false">IF(B794="","",IFERROR(INDEX(Program!$I$2:$I$75,MATCH(B794,Program!$D$2:$D$75,0)),""))</f>
        <v/>
      </c>
      <c r="J794" s="11" t="str">
        <f aca="false">IF(COUNT(D794:G794)=0,"",COUNT(D794:G794))</f>
        <v/>
      </c>
      <c r="K794" s="12" t="str">
        <f aca="false">IF(OR(J794="",I794=""),"",IF(MIN(D794:G794)&gt;=I794,"Add load (smallest step)",IF(MAX(D794:G794)&lt;H794,"Below range: if again, drop 5–10%","Same load, add reps")))</f>
        <v/>
      </c>
      <c r="L794" s="20"/>
      <c r="M794" s="11" t="str">
        <f aca="false">IF(OR(L794="",C794="",H794="",C794=0),"",MAX(H794,ROUNDUP(30*((L794/C794)*(1+H794/30)-1),0)))</f>
        <v/>
      </c>
    </row>
    <row r="795" customFormat="false" ht="15" hidden="false" customHeight="false" outlineLevel="0" collapsed="false">
      <c r="A795" s="51"/>
      <c r="B795" s="54"/>
      <c r="C795" s="20"/>
      <c r="D795" s="20"/>
      <c r="E795" s="20"/>
      <c r="F795" s="20"/>
      <c r="G795" s="20"/>
      <c r="H795" s="11" t="str">
        <f aca="false">IF(B795="","",IFERROR(INDEX(Program!$H$2:$H$75,MATCH(B795,Program!$D$2:$D$75,0)),""))</f>
        <v/>
      </c>
      <c r="I795" s="11" t="str">
        <f aca="false">IF(B795="","",IFERROR(INDEX(Program!$I$2:$I$75,MATCH(B795,Program!$D$2:$D$75,0)),""))</f>
        <v/>
      </c>
      <c r="J795" s="11" t="str">
        <f aca="false">IF(COUNT(D795:G795)=0,"",COUNT(D795:G795))</f>
        <v/>
      </c>
      <c r="K795" s="12" t="str">
        <f aca="false">IF(OR(J795="",I795=""),"",IF(MIN(D795:G795)&gt;=I795,"Add load (smallest step)",IF(MAX(D795:G795)&lt;H795,"Below range: if again, drop 5–10%","Same load, add reps")))</f>
        <v/>
      </c>
      <c r="L795" s="20"/>
      <c r="M795" s="11" t="str">
        <f aca="false">IF(OR(L795="",C795="",H795="",C795=0),"",MAX(H795,ROUNDUP(30*((L795/C795)*(1+H795/30)-1),0)))</f>
        <v/>
      </c>
    </row>
    <row r="796" customFormat="false" ht="15" hidden="false" customHeight="false" outlineLevel="0" collapsed="false">
      <c r="A796" s="51"/>
      <c r="B796" s="54"/>
      <c r="C796" s="20"/>
      <c r="D796" s="20"/>
      <c r="E796" s="20"/>
      <c r="F796" s="20"/>
      <c r="G796" s="20"/>
      <c r="H796" s="11" t="str">
        <f aca="false">IF(B796="","",IFERROR(INDEX(Program!$H$2:$H$75,MATCH(B796,Program!$D$2:$D$75,0)),""))</f>
        <v/>
      </c>
      <c r="I796" s="11" t="str">
        <f aca="false">IF(B796="","",IFERROR(INDEX(Program!$I$2:$I$75,MATCH(B796,Program!$D$2:$D$75,0)),""))</f>
        <v/>
      </c>
      <c r="J796" s="11" t="str">
        <f aca="false">IF(COUNT(D796:G796)=0,"",COUNT(D796:G796))</f>
        <v/>
      </c>
      <c r="K796" s="12" t="str">
        <f aca="false">IF(OR(J796="",I796=""),"",IF(MIN(D796:G796)&gt;=I796,"Add load (smallest step)",IF(MAX(D796:G796)&lt;H796,"Below range: if again, drop 5–10%","Same load, add reps")))</f>
        <v/>
      </c>
      <c r="L796" s="20"/>
      <c r="M796" s="11" t="str">
        <f aca="false">IF(OR(L796="",C796="",H796="",C796=0),"",MAX(H796,ROUNDUP(30*((L796/C796)*(1+H796/30)-1),0)))</f>
        <v/>
      </c>
    </row>
    <row r="797" customFormat="false" ht="15" hidden="false" customHeight="false" outlineLevel="0" collapsed="false">
      <c r="A797" s="51"/>
      <c r="B797" s="54"/>
      <c r="C797" s="20"/>
      <c r="D797" s="20"/>
      <c r="E797" s="20"/>
      <c r="F797" s="20"/>
      <c r="G797" s="20"/>
      <c r="H797" s="11" t="str">
        <f aca="false">IF(B797="","",IFERROR(INDEX(Program!$H$2:$H$75,MATCH(B797,Program!$D$2:$D$75,0)),""))</f>
        <v/>
      </c>
      <c r="I797" s="11" t="str">
        <f aca="false">IF(B797="","",IFERROR(INDEX(Program!$I$2:$I$75,MATCH(B797,Program!$D$2:$D$75,0)),""))</f>
        <v/>
      </c>
      <c r="J797" s="11" t="str">
        <f aca="false">IF(COUNT(D797:G797)=0,"",COUNT(D797:G797))</f>
        <v/>
      </c>
      <c r="K797" s="12" t="str">
        <f aca="false">IF(OR(J797="",I797=""),"",IF(MIN(D797:G797)&gt;=I797,"Add load (smallest step)",IF(MAX(D797:G797)&lt;H797,"Below range: if again, drop 5–10%","Same load, add reps")))</f>
        <v/>
      </c>
      <c r="L797" s="20"/>
      <c r="M797" s="11" t="str">
        <f aca="false">IF(OR(L797="",C797="",H797="",C797=0),"",MAX(H797,ROUNDUP(30*((L797/C797)*(1+H797/30)-1),0)))</f>
        <v/>
      </c>
    </row>
    <row r="798" customFormat="false" ht="15" hidden="false" customHeight="false" outlineLevel="0" collapsed="false">
      <c r="A798" s="51"/>
      <c r="B798" s="54"/>
      <c r="C798" s="20"/>
      <c r="D798" s="20"/>
      <c r="E798" s="20"/>
      <c r="F798" s="20"/>
      <c r="G798" s="20"/>
      <c r="H798" s="11" t="str">
        <f aca="false">IF(B798="","",IFERROR(INDEX(Program!$H$2:$H$75,MATCH(B798,Program!$D$2:$D$75,0)),""))</f>
        <v/>
      </c>
      <c r="I798" s="11" t="str">
        <f aca="false">IF(B798="","",IFERROR(INDEX(Program!$I$2:$I$75,MATCH(B798,Program!$D$2:$D$75,0)),""))</f>
        <v/>
      </c>
      <c r="J798" s="11" t="str">
        <f aca="false">IF(COUNT(D798:G798)=0,"",COUNT(D798:G798))</f>
        <v/>
      </c>
      <c r="K798" s="12" t="str">
        <f aca="false">IF(OR(J798="",I798=""),"",IF(MIN(D798:G798)&gt;=I798,"Add load (smallest step)",IF(MAX(D798:G798)&lt;H798,"Below range: if again, drop 5–10%","Same load, add reps")))</f>
        <v/>
      </c>
      <c r="L798" s="20"/>
      <c r="M798" s="11" t="str">
        <f aca="false">IF(OR(L798="",C798="",H798="",C798=0),"",MAX(H798,ROUNDUP(30*((L798/C798)*(1+H798/30)-1),0)))</f>
        <v/>
      </c>
    </row>
    <row r="799" customFormat="false" ht="15" hidden="false" customHeight="false" outlineLevel="0" collapsed="false">
      <c r="A799" s="51"/>
      <c r="B799" s="54"/>
      <c r="C799" s="20"/>
      <c r="D799" s="20"/>
      <c r="E799" s="20"/>
      <c r="F799" s="20"/>
      <c r="G799" s="20"/>
      <c r="H799" s="11" t="str">
        <f aca="false">IF(B799="","",IFERROR(INDEX(Program!$H$2:$H$75,MATCH(B799,Program!$D$2:$D$75,0)),""))</f>
        <v/>
      </c>
      <c r="I799" s="11" t="str">
        <f aca="false">IF(B799="","",IFERROR(INDEX(Program!$I$2:$I$75,MATCH(B799,Program!$D$2:$D$75,0)),""))</f>
        <v/>
      </c>
      <c r="J799" s="11" t="str">
        <f aca="false">IF(COUNT(D799:G799)=0,"",COUNT(D799:G799))</f>
        <v/>
      </c>
      <c r="K799" s="12" t="str">
        <f aca="false">IF(OR(J799="",I799=""),"",IF(MIN(D799:G799)&gt;=I799,"Add load (smallest step)",IF(MAX(D799:G799)&lt;H799,"Below range: if again, drop 5–10%","Same load, add reps")))</f>
        <v/>
      </c>
      <c r="L799" s="20"/>
      <c r="M799" s="11" t="str">
        <f aca="false">IF(OR(L799="",C799="",H799="",C799=0),"",MAX(H799,ROUNDUP(30*((L799/C799)*(1+H799/30)-1),0)))</f>
        <v/>
      </c>
    </row>
    <row r="800" customFormat="false" ht="15" hidden="false" customHeight="false" outlineLevel="0" collapsed="false">
      <c r="A800" s="51"/>
      <c r="B800" s="54"/>
      <c r="C800" s="20"/>
      <c r="D800" s="20"/>
      <c r="E800" s="20"/>
      <c r="F800" s="20"/>
      <c r="G800" s="20"/>
      <c r="H800" s="11" t="str">
        <f aca="false">IF(B800="","",IFERROR(INDEX(Program!$H$2:$H$75,MATCH(B800,Program!$D$2:$D$75,0)),""))</f>
        <v/>
      </c>
      <c r="I800" s="11" t="str">
        <f aca="false">IF(B800="","",IFERROR(INDEX(Program!$I$2:$I$75,MATCH(B800,Program!$D$2:$D$75,0)),""))</f>
        <v/>
      </c>
      <c r="J800" s="11" t="str">
        <f aca="false">IF(COUNT(D800:G800)=0,"",COUNT(D800:G800))</f>
        <v/>
      </c>
      <c r="K800" s="12" t="str">
        <f aca="false">IF(OR(J800="",I800=""),"",IF(MIN(D800:G800)&gt;=I800,"Add load (smallest step)",IF(MAX(D800:G800)&lt;H800,"Below range: if again, drop 5–10%","Same load, add reps")))</f>
        <v/>
      </c>
      <c r="L800" s="20"/>
      <c r="M800" s="11" t="str">
        <f aca="false">IF(OR(L800="",C800="",H800="",C800=0),"",MAX(H800,ROUNDUP(30*((L800/C800)*(1+H800/30)-1),0)))</f>
        <v/>
      </c>
    </row>
    <row r="801" customFormat="false" ht="15" hidden="false" customHeight="false" outlineLevel="0" collapsed="false">
      <c r="A801" s="51"/>
      <c r="B801" s="54"/>
      <c r="C801" s="20"/>
      <c r="D801" s="20"/>
      <c r="E801" s="20"/>
      <c r="F801" s="20"/>
      <c r="G801" s="20"/>
      <c r="H801" s="11" t="str">
        <f aca="false">IF(B801="","",IFERROR(INDEX(Program!$H$2:$H$75,MATCH(B801,Program!$D$2:$D$75,0)),""))</f>
        <v/>
      </c>
      <c r="I801" s="11" t="str">
        <f aca="false">IF(B801="","",IFERROR(INDEX(Program!$I$2:$I$75,MATCH(B801,Program!$D$2:$D$75,0)),""))</f>
        <v/>
      </c>
      <c r="J801" s="11" t="str">
        <f aca="false">IF(COUNT(D801:G801)=0,"",COUNT(D801:G801))</f>
        <v/>
      </c>
      <c r="K801" s="12" t="str">
        <f aca="false">IF(OR(J801="",I801=""),"",IF(MIN(D801:G801)&gt;=I801,"Add load (smallest step)",IF(MAX(D801:G801)&lt;H801,"Below range: if again, drop 5–10%","Same load, add reps")))</f>
        <v/>
      </c>
      <c r="L801" s="20"/>
      <c r="M801" s="11" t="str">
        <f aca="false">IF(OR(L801="",C801="",H801="",C801=0),"",MAX(H801,ROUNDUP(30*((L801/C801)*(1+H801/30)-1),0)))</f>
        <v/>
      </c>
    </row>
    <row r="803" customFormat="false" ht="15" hidden="false" customHeight="false" outlineLevel="0" collapsed="false">
      <c r="A803" s="2" t="s">
        <v>418</v>
      </c>
    </row>
  </sheetData>
  <conditionalFormatting sqref="K2:K801">
    <cfRule type="expression" priority="2" aboveAverage="0" equalAverage="0" bottom="0" percent="0" rank="0" text="" dxfId="2">
      <formula>LEFT($K2,3)="Add"</formula>
    </cfRule>
    <cfRule type="expression" priority="3" aboveAverage="0" equalAverage="0" bottom="0" percent="0" rank="0" text="" dxfId="3">
      <formula>LEFT($K2,5)="Below"</formula>
    </cfRule>
  </conditionalFormatting>
  <dataValidations count="1">
    <dataValidation allowBlank="true" errorStyle="stop" operator="between" showDropDown="false" showErrorMessage="false" showInputMessage="false" sqref="B2:B801" type="list">
      <formula1>Program!$D$2:$D$75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4" style="0" width="7"/>
    <col collapsed="false" customWidth="true" hidden="false" outlineLevel="0" max="16" min="15" style="0" width="13"/>
    <col collapsed="false" customWidth="true" hidden="false" outlineLevel="0" max="17" min="17" style="0" width="42"/>
  </cols>
  <sheetData>
    <row r="1" customFormat="false" ht="30" hidden="false" customHeight="true" outlineLevel="0" collapsed="false">
      <c r="A1" s="17" t="s">
        <v>401</v>
      </c>
      <c r="B1" s="17" t="s">
        <v>80</v>
      </c>
      <c r="C1" s="17" t="s">
        <v>419</v>
      </c>
      <c r="D1" s="17" t="s">
        <v>420</v>
      </c>
      <c r="E1" s="17" t="s">
        <v>421</v>
      </c>
      <c r="F1" s="17" t="s">
        <v>422</v>
      </c>
      <c r="G1" s="17" t="s">
        <v>423</v>
      </c>
      <c r="H1" s="17" t="s">
        <v>424</v>
      </c>
      <c r="I1" s="17" t="s">
        <v>425</v>
      </c>
      <c r="J1" s="17" t="s">
        <v>426</v>
      </c>
      <c r="K1" s="17" t="s">
        <v>427</v>
      </c>
      <c r="L1" s="17" t="s">
        <v>428</v>
      </c>
      <c r="N1" s="10" t="s">
        <v>80</v>
      </c>
      <c r="O1" s="10" t="s">
        <v>429</v>
      </c>
      <c r="P1" s="10" t="s">
        <v>430</v>
      </c>
      <c r="Q1" s="10" t="s">
        <v>431</v>
      </c>
    </row>
    <row r="2" customFormat="false" ht="15" hidden="false" customHeight="false" outlineLevel="0" collapsed="false">
      <c r="A2" s="47" t="n">
        <v>46307</v>
      </c>
      <c r="B2" s="48" t="n">
        <f aca="false">IF(A2="","",INT((A2-'Start here'!$C$5)/7)+1)</f>
        <v>1</v>
      </c>
      <c r="C2" s="49" t="n">
        <v>4</v>
      </c>
      <c r="D2" s="49" t="n">
        <v>3</v>
      </c>
      <c r="E2" s="49" t="n">
        <v>4</v>
      </c>
      <c r="F2" s="48" t="n">
        <f aca="false">IF(COUNT(C2:E2)&lt;3,"",SUM(C2:E2))</f>
        <v>11</v>
      </c>
      <c r="G2" s="53" t="str">
        <f aca="false">IF(F2="","",IF(F2&lt;=6,"Technique and mobility only",IF(F2&lt;=8,"Main lift top set only; −1 set on every accessory; RPE cap 7","Train as planned")))</f>
        <v>Train as planned</v>
      </c>
      <c r="H2" s="49" t="s">
        <v>432</v>
      </c>
      <c r="I2" s="49" t="n">
        <v>2</v>
      </c>
      <c r="J2" s="52" t="s">
        <v>433</v>
      </c>
      <c r="K2" s="53" t="str">
        <f aca="false">IF(I2="","",IF(I2&gt;=5,"Drop that pattern this week",IF(I2&gt;=3,"Swap that exercise","OK")))</f>
        <v>OK</v>
      </c>
      <c r="L2" s="49" t="n">
        <v>68</v>
      </c>
      <c r="N2" s="11" t="n">
        <v>1</v>
      </c>
      <c r="O2" s="11" t="n">
        <f aca="false">COUNTIFS($B$2:$B$301,N2,$H$2:$H$301,"Y")</f>
        <v>0</v>
      </c>
      <c r="P2" s="11" t="n">
        <f aca="false">COUNTIFS($B$2:$B$301,N2,$L$2:$L$301,"&gt;75")</f>
        <v>0</v>
      </c>
      <c r="Q2" s="12" t="str">
        <f aca="false">TRIM(IF(O2&gt;=2,"Cut lower-body accessories 25% next week. ","")&amp;IF(P2&gt;=2,"Sessions running long: trim the cut-first list.",""))</f>
        <v/>
      </c>
    </row>
    <row r="3" customFormat="false" ht="15" hidden="false" customHeight="false" outlineLevel="0" collapsed="false">
      <c r="A3" s="51"/>
      <c r="B3" s="11" t="str">
        <f aca="false">IF(A3="","",INT((A3-'Start here'!$C$5)/7)+1)</f>
        <v/>
      </c>
      <c r="C3" s="20"/>
      <c r="D3" s="20"/>
      <c r="E3" s="20"/>
      <c r="F3" s="11" t="str">
        <f aca="false">IF(COUNT(C3:E3)&lt;3,"",SUM(C3:E3))</f>
        <v/>
      </c>
      <c r="G3" s="12" t="str">
        <f aca="false">IF(F3="","",IF(F3&lt;=6,"Technique and mobility only",IF(F3&lt;=8,"Main lift top set only; −1 set on every accessory; RPE cap 7","Train as planned")))</f>
        <v/>
      </c>
      <c r="H3" s="20"/>
      <c r="I3" s="20"/>
      <c r="J3" s="54"/>
      <c r="K3" s="12" t="str">
        <f aca="false">IF(I3="","",IF(I3&gt;=5,"Drop that pattern this week",IF(I3&gt;=3,"Swap that exercise","OK")))</f>
        <v/>
      </c>
      <c r="L3" s="20"/>
      <c r="N3" s="11" t="n">
        <v>2</v>
      </c>
      <c r="O3" s="11" t="n">
        <f aca="false">COUNTIFS($B$2:$B$301,N3,$H$2:$H$301,"Y")</f>
        <v>0</v>
      </c>
      <c r="P3" s="11" t="n">
        <f aca="false">COUNTIFS($B$2:$B$301,N3,$L$2:$L$301,"&gt;75")</f>
        <v>0</v>
      </c>
      <c r="Q3" s="12" t="str">
        <f aca="false">TRIM(IF(O3&gt;=2,"Cut lower-body accessories 25% next week. ","")&amp;IF(P3&gt;=2,"Sessions running long: trim the cut-first list.",""))</f>
        <v/>
      </c>
    </row>
    <row r="4" customFormat="false" ht="15" hidden="false" customHeight="false" outlineLevel="0" collapsed="false">
      <c r="A4" s="51"/>
      <c r="B4" s="11" t="str">
        <f aca="false">IF(A4="","",INT((A4-'Start here'!$C$5)/7)+1)</f>
        <v/>
      </c>
      <c r="C4" s="20"/>
      <c r="D4" s="20"/>
      <c r="E4" s="20"/>
      <c r="F4" s="11" t="str">
        <f aca="false">IF(COUNT(C4:E4)&lt;3,"",SUM(C4:E4))</f>
        <v/>
      </c>
      <c r="G4" s="12" t="str">
        <f aca="false">IF(F4="","",IF(F4&lt;=6,"Technique and mobility only",IF(F4&lt;=8,"Main lift top set only; −1 set on every accessory; RPE cap 7","Train as planned")))</f>
        <v/>
      </c>
      <c r="H4" s="20"/>
      <c r="I4" s="20"/>
      <c r="J4" s="54"/>
      <c r="K4" s="12" t="str">
        <f aca="false">IF(I4="","",IF(I4&gt;=5,"Drop that pattern this week",IF(I4&gt;=3,"Swap that exercise","OK")))</f>
        <v/>
      </c>
      <c r="L4" s="20"/>
      <c r="N4" s="11" t="n">
        <v>3</v>
      </c>
      <c r="O4" s="11" t="n">
        <f aca="false">COUNTIFS($B$2:$B$301,N4,$H$2:$H$301,"Y")</f>
        <v>0</v>
      </c>
      <c r="P4" s="11" t="n">
        <f aca="false">COUNTIFS($B$2:$B$301,N4,$L$2:$L$301,"&gt;75")</f>
        <v>0</v>
      </c>
      <c r="Q4" s="12" t="str">
        <f aca="false">TRIM(IF(O4&gt;=2,"Cut lower-body accessories 25% next week. ","")&amp;IF(P4&gt;=2,"Sessions running long: trim the cut-first list.",""))</f>
        <v/>
      </c>
    </row>
    <row r="5" customFormat="false" ht="15" hidden="false" customHeight="false" outlineLevel="0" collapsed="false">
      <c r="A5" s="51"/>
      <c r="B5" s="11" t="str">
        <f aca="false">IF(A5="","",INT((A5-'Start here'!$C$5)/7)+1)</f>
        <v/>
      </c>
      <c r="C5" s="20"/>
      <c r="D5" s="20"/>
      <c r="E5" s="20"/>
      <c r="F5" s="11" t="str">
        <f aca="false">IF(COUNT(C5:E5)&lt;3,"",SUM(C5:E5))</f>
        <v/>
      </c>
      <c r="G5" s="12" t="str">
        <f aca="false">IF(F5="","",IF(F5&lt;=6,"Technique and mobility only",IF(F5&lt;=8,"Main lift top set only; −1 set on every accessory; RPE cap 7","Train as planned")))</f>
        <v/>
      </c>
      <c r="H5" s="20"/>
      <c r="I5" s="20"/>
      <c r="J5" s="54"/>
      <c r="K5" s="12" t="str">
        <f aca="false">IF(I5="","",IF(I5&gt;=5,"Drop that pattern this week",IF(I5&gt;=3,"Swap that exercise","OK")))</f>
        <v/>
      </c>
      <c r="L5" s="20"/>
      <c r="N5" s="11" t="n">
        <v>4</v>
      </c>
      <c r="O5" s="11" t="n">
        <f aca="false">COUNTIFS($B$2:$B$301,N5,$H$2:$H$301,"Y")</f>
        <v>0</v>
      </c>
      <c r="P5" s="11" t="n">
        <f aca="false">COUNTIFS($B$2:$B$301,N5,$L$2:$L$301,"&gt;75")</f>
        <v>0</v>
      </c>
      <c r="Q5" s="12" t="str">
        <f aca="false">TRIM(IF(O5&gt;=2,"Cut lower-body accessories 25% next week. ","")&amp;IF(P5&gt;=2,"Sessions running long: trim the cut-first list.",""))</f>
        <v/>
      </c>
    </row>
    <row r="6" customFormat="false" ht="15" hidden="false" customHeight="false" outlineLevel="0" collapsed="false">
      <c r="A6" s="51"/>
      <c r="B6" s="11" t="str">
        <f aca="false">IF(A6="","",INT((A6-'Start here'!$C$5)/7)+1)</f>
        <v/>
      </c>
      <c r="C6" s="20"/>
      <c r="D6" s="20"/>
      <c r="E6" s="20"/>
      <c r="F6" s="11" t="str">
        <f aca="false">IF(COUNT(C6:E6)&lt;3,"",SUM(C6:E6))</f>
        <v/>
      </c>
      <c r="G6" s="12" t="str">
        <f aca="false">IF(F6="","",IF(F6&lt;=6,"Technique and mobility only",IF(F6&lt;=8,"Main lift top set only; −1 set on every accessory; RPE cap 7","Train as planned")))</f>
        <v/>
      </c>
      <c r="H6" s="20"/>
      <c r="I6" s="20"/>
      <c r="J6" s="54"/>
      <c r="K6" s="12" t="str">
        <f aca="false">IF(I6="","",IF(I6&gt;=5,"Drop that pattern this week",IF(I6&gt;=3,"Swap that exercise","OK")))</f>
        <v/>
      </c>
      <c r="L6" s="20"/>
      <c r="N6" s="11" t="n">
        <v>5</v>
      </c>
      <c r="O6" s="11" t="n">
        <f aca="false">COUNTIFS($B$2:$B$301,N6,$H$2:$H$301,"Y")</f>
        <v>0</v>
      </c>
      <c r="P6" s="11" t="n">
        <f aca="false">COUNTIFS($B$2:$B$301,N6,$L$2:$L$301,"&gt;75")</f>
        <v>0</v>
      </c>
      <c r="Q6" s="12" t="str">
        <f aca="false">TRIM(IF(O6&gt;=2,"Cut lower-body accessories 25% next week. ","")&amp;IF(P6&gt;=2,"Sessions running long: trim the cut-first list.",""))</f>
        <v/>
      </c>
    </row>
    <row r="7" customFormat="false" ht="15" hidden="false" customHeight="false" outlineLevel="0" collapsed="false">
      <c r="A7" s="51"/>
      <c r="B7" s="11" t="str">
        <f aca="false">IF(A7="","",INT((A7-'Start here'!$C$5)/7)+1)</f>
        <v/>
      </c>
      <c r="C7" s="20"/>
      <c r="D7" s="20"/>
      <c r="E7" s="20"/>
      <c r="F7" s="11" t="str">
        <f aca="false">IF(COUNT(C7:E7)&lt;3,"",SUM(C7:E7))</f>
        <v/>
      </c>
      <c r="G7" s="12" t="str">
        <f aca="false">IF(F7="","",IF(F7&lt;=6,"Technique and mobility only",IF(F7&lt;=8,"Main lift top set only; −1 set on every accessory; RPE cap 7","Train as planned")))</f>
        <v/>
      </c>
      <c r="H7" s="20"/>
      <c r="I7" s="20"/>
      <c r="J7" s="54"/>
      <c r="K7" s="12" t="str">
        <f aca="false">IF(I7="","",IF(I7&gt;=5,"Drop that pattern this week",IF(I7&gt;=3,"Swap that exercise","OK")))</f>
        <v/>
      </c>
      <c r="L7" s="20"/>
      <c r="N7" s="11" t="n">
        <v>6</v>
      </c>
      <c r="O7" s="11" t="n">
        <f aca="false">COUNTIFS($B$2:$B$301,N7,$H$2:$H$301,"Y")</f>
        <v>0</v>
      </c>
      <c r="P7" s="11" t="n">
        <f aca="false">COUNTIFS($B$2:$B$301,N7,$L$2:$L$301,"&gt;75")</f>
        <v>0</v>
      </c>
      <c r="Q7" s="12" t="str">
        <f aca="false">TRIM(IF(O7&gt;=2,"Cut lower-body accessories 25% next week. ","")&amp;IF(P7&gt;=2,"Sessions running long: trim the cut-first list.",""))</f>
        <v/>
      </c>
    </row>
    <row r="8" customFormat="false" ht="15" hidden="false" customHeight="false" outlineLevel="0" collapsed="false">
      <c r="A8" s="51"/>
      <c r="B8" s="11" t="str">
        <f aca="false">IF(A8="","",INT((A8-'Start here'!$C$5)/7)+1)</f>
        <v/>
      </c>
      <c r="C8" s="20"/>
      <c r="D8" s="20"/>
      <c r="E8" s="20"/>
      <c r="F8" s="11" t="str">
        <f aca="false">IF(COUNT(C8:E8)&lt;3,"",SUM(C8:E8))</f>
        <v/>
      </c>
      <c r="G8" s="12" t="str">
        <f aca="false">IF(F8="","",IF(F8&lt;=6,"Technique and mobility only",IF(F8&lt;=8,"Main lift top set only; −1 set on every accessory; RPE cap 7","Train as planned")))</f>
        <v/>
      </c>
      <c r="H8" s="20"/>
      <c r="I8" s="20"/>
      <c r="J8" s="54"/>
      <c r="K8" s="12" t="str">
        <f aca="false">IF(I8="","",IF(I8&gt;=5,"Drop that pattern this week",IF(I8&gt;=3,"Swap that exercise","OK")))</f>
        <v/>
      </c>
      <c r="L8" s="20"/>
      <c r="N8" s="11" t="n">
        <v>7</v>
      </c>
      <c r="O8" s="11" t="n">
        <f aca="false">COUNTIFS($B$2:$B$301,N8,$H$2:$H$301,"Y")</f>
        <v>0</v>
      </c>
      <c r="P8" s="11" t="n">
        <f aca="false">COUNTIFS($B$2:$B$301,N8,$L$2:$L$301,"&gt;75")</f>
        <v>0</v>
      </c>
      <c r="Q8" s="12" t="str">
        <f aca="false">TRIM(IF(O8&gt;=2,"Cut lower-body accessories 25% next week. ","")&amp;IF(P8&gt;=2,"Sessions running long: trim the cut-first list.",""))</f>
        <v/>
      </c>
    </row>
    <row r="9" customFormat="false" ht="15" hidden="false" customHeight="false" outlineLevel="0" collapsed="false">
      <c r="A9" s="51"/>
      <c r="B9" s="11" t="str">
        <f aca="false">IF(A9="","",INT((A9-'Start here'!$C$5)/7)+1)</f>
        <v/>
      </c>
      <c r="C9" s="20"/>
      <c r="D9" s="20"/>
      <c r="E9" s="20"/>
      <c r="F9" s="11" t="str">
        <f aca="false">IF(COUNT(C9:E9)&lt;3,"",SUM(C9:E9))</f>
        <v/>
      </c>
      <c r="G9" s="12" t="str">
        <f aca="false">IF(F9="","",IF(F9&lt;=6,"Technique and mobility only",IF(F9&lt;=8,"Main lift top set only; −1 set on every accessory; RPE cap 7","Train as planned")))</f>
        <v/>
      </c>
      <c r="H9" s="20"/>
      <c r="I9" s="20"/>
      <c r="J9" s="54"/>
      <c r="K9" s="12" t="str">
        <f aca="false">IF(I9="","",IF(I9&gt;=5,"Drop that pattern this week",IF(I9&gt;=3,"Swap that exercise","OK")))</f>
        <v/>
      </c>
      <c r="L9" s="20"/>
      <c r="N9" s="11" t="n">
        <v>8</v>
      </c>
      <c r="O9" s="11" t="n">
        <f aca="false">COUNTIFS($B$2:$B$301,N9,$H$2:$H$301,"Y")</f>
        <v>0</v>
      </c>
      <c r="P9" s="11" t="n">
        <f aca="false">COUNTIFS($B$2:$B$301,N9,$L$2:$L$301,"&gt;75")</f>
        <v>0</v>
      </c>
      <c r="Q9" s="12" t="str">
        <f aca="false">TRIM(IF(O9&gt;=2,"Cut lower-body accessories 25% next week. ","")&amp;IF(P9&gt;=2,"Sessions running long: trim the cut-first list.",""))</f>
        <v/>
      </c>
    </row>
    <row r="10" customFormat="false" ht="15" hidden="false" customHeight="false" outlineLevel="0" collapsed="false">
      <c r="A10" s="51"/>
      <c r="B10" s="11" t="str">
        <f aca="false">IF(A10="","",INT((A10-'Start here'!$C$5)/7)+1)</f>
        <v/>
      </c>
      <c r="C10" s="20"/>
      <c r="D10" s="20"/>
      <c r="E10" s="20"/>
      <c r="F10" s="11" t="str">
        <f aca="false">IF(COUNT(C10:E10)&lt;3,"",SUM(C10:E10))</f>
        <v/>
      </c>
      <c r="G10" s="12" t="str">
        <f aca="false">IF(F10="","",IF(F10&lt;=6,"Technique and mobility only",IF(F10&lt;=8,"Main lift top set only; −1 set on every accessory; RPE cap 7","Train as planned")))</f>
        <v/>
      </c>
      <c r="H10" s="20"/>
      <c r="I10" s="20"/>
      <c r="J10" s="54"/>
      <c r="K10" s="12" t="str">
        <f aca="false">IF(I10="","",IF(I10&gt;=5,"Drop that pattern this week",IF(I10&gt;=3,"Swap that exercise","OK")))</f>
        <v/>
      </c>
      <c r="L10" s="20"/>
      <c r="N10" s="11" t="n">
        <v>9</v>
      </c>
      <c r="O10" s="11" t="n">
        <f aca="false">COUNTIFS($B$2:$B$301,N10,$H$2:$H$301,"Y")</f>
        <v>0</v>
      </c>
      <c r="P10" s="11" t="n">
        <f aca="false">COUNTIFS($B$2:$B$301,N10,$L$2:$L$301,"&gt;75")</f>
        <v>0</v>
      </c>
      <c r="Q10" s="12" t="str">
        <f aca="false">TRIM(IF(O10&gt;=2,"Cut lower-body accessories 25% next week. ","")&amp;IF(P10&gt;=2,"Sessions running long: trim the cut-first list.",""))</f>
        <v/>
      </c>
    </row>
    <row r="11" customFormat="false" ht="15" hidden="false" customHeight="false" outlineLevel="0" collapsed="false">
      <c r="A11" s="51"/>
      <c r="B11" s="11" t="str">
        <f aca="false">IF(A11="","",INT((A11-'Start here'!$C$5)/7)+1)</f>
        <v/>
      </c>
      <c r="C11" s="20"/>
      <c r="D11" s="20"/>
      <c r="E11" s="20"/>
      <c r="F11" s="11" t="str">
        <f aca="false">IF(COUNT(C11:E11)&lt;3,"",SUM(C11:E11))</f>
        <v/>
      </c>
      <c r="G11" s="12" t="str">
        <f aca="false">IF(F11="","",IF(F11&lt;=6,"Technique and mobility only",IF(F11&lt;=8,"Main lift top set only; −1 set on every accessory; RPE cap 7","Train as planned")))</f>
        <v/>
      </c>
      <c r="H11" s="20"/>
      <c r="I11" s="20"/>
      <c r="J11" s="54"/>
      <c r="K11" s="12" t="str">
        <f aca="false">IF(I11="","",IF(I11&gt;=5,"Drop that pattern this week",IF(I11&gt;=3,"Swap that exercise","OK")))</f>
        <v/>
      </c>
      <c r="L11" s="20"/>
      <c r="N11" s="11" t="n">
        <v>10</v>
      </c>
      <c r="O11" s="11" t="n">
        <f aca="false">COUNTIFS($B$2:$B$301,N11,$H$2:$H$301,"Y")</f>
        <v>0</v>
      </c>
      <c r="P11" s="11" t="n">
        <f aca="false">COUNTIFS($B$2:$B$301,N11,$L$2:$L$301,"&gt;75")</f>
        <v>0</v>
      </c>
      <c r="Q11" s="12" t="str">
        <f aca="false">TRIM(IF(O11&gt;=2,"Cut lower-body accessories 25% next week. ","")&amp;IF(P11&gt;=2,"Sessions running long: trim the cut-first list.",""))</f>
        <v/>
      </c>
    </row>
    <row r="12" customFormat="false" ht="15" hidden="false" customHeight="false" outlineLevel="0" collapsed="false">
      <c r="A12" s="51"/>
      <c r="B12" s="11" t="str">
        <f aca="false">IF(A12="","",INT((A12-'Start here'!$C$5)/7)+1)</f>
        <v/>
      </c>
      <c r="C12" s="20"/>
      <c r="D12" s="20"/>
      <c r="E12" s="20"/>
      <c r="F12" s="11" t="str">
        <f aca="false">IF(COUNT(C12:E12)&lt;3,"",SUM(C12:E12))</f>
        <v/>
      </c>
      <c r="G12" s="12" t="str">
        <f aca="false">IF(F12="","",IF(F12&lt;=6,"Technique and mobility only",IF(F12&lt;=8,"Main lift top set only; −1 set on every accessory; RPE cap 7","Train as planned")))</f>
        <v/>
      </c>
      <c r="H12" s="20"/>
      <c r="I12" s="20"/>
      <c r="J12" s="54"/>
      <c r="K12" s="12" t="str">
        <f aca="false">IF(I12="","",IF(I12&gt;=5,"Drop that pattern this week",IF(I12&gt;=3,"Swap that exercise","OK")))</f>
        <v/>
      </c>
      <c r="L12" s="20"/>
      <c r="N12" s="11" t="n">
        <v>11</v>
      </c>
      <c r="O12" s="11" t="n">
        <f aca="false">COUNTIFS($B$2:$B$301,N12,$H$2:$H$301,"Y")</f>
        <v>0</v>
      </c>
      <c r="P12" s="11" t="n">
        <f aca="false">COUNTIFS($B$2:$B$301,N12,$L$2:$L$301,"&gt;75")</f>
        <v>0</v>
      </c>
      <c r="Q12" s="12" t="str">
        <f aca="false">TRIM(IF(O12&gt;=2,"Cut lower-body accessories 25% next week. ","")&amp;IF(P12&gt;=2,"Sessions running long: trim the cut-first list.",""))</f>
        <v/>
      </c>
    </row>
    <row r="13" customFormat="false" ht="15" hidden="false" customHeight="false" outlineLevel="0" collapsed="false">
      <c r="A13" s="51"/>
      <c r="B13" s="11" t="str">
        <f aca="false">IF(A13="","",INT((A13-'Start here'!$C$5)/7)+1)</f>
        <v/>
      </c>
      <c r="C13" s="20"/>
      <c r="D13" s="20"/>
      <c r="E13" s="20"/>
      <c r="F13" s="11" t="str">
        <f aca="false">IF(COUNT(C13:E13)&lt;3,"",SUM(C13:E13))</f>
        <v/>
      </c>
      <c r="G13" s="12" t="str">
        <f aca="false">IF(F13="","",IF(F13&lt;=6,"Technique and mobility only",IF(F13&lt;=8,"Main lift top set only; −1 set on every accessory; RPE cap 7","Train as planned")))</f>
        <v/>
      </c>
      <c r="H13" s="20"/>
      <c r="I13" s="20"/>
      <c r="J13" s="54"/>
      <c r="K13" s="12" t="str">
        <f aca="false">IF(I13="","",IF(I13&gt;=5,"Drop that pattern this week",IF(I13&gt;=3,"Swap that exercise","OK")))</f>
        <v/>
      </c>
      <c r="L13" s="20"/>
      <c r="N13" s="11" t="n">
        <v>12</v>
      </c>
      <c r="O13" s="11" t="n">
        <f aca="false">COUNTIFS($B$2:$B$301,N13,$H$2:$H$301,"Y")</f>
        <v>0</v>
      </c>
      <c r="P13" s="11" t="n">
        <f aca="false">COUNTIFS($B$2:$B$301,N13,$L$2:$L$301,"&gt;75")</f>
        <v>0</v>
      </c>
      <c r="Q13" s="12" t="str">
        <f aca="false">TRIM(IF(O13&gt;=2,"Cut lower-body accessories 25% next week. ","")&amp;IF(P13&gt;=2,"Sessions running long: trim the cut-first list.",""))</f>
        <v/>
      </c>
    </row>
    <row r="14" customFormat="false" ht="15" hidden="false" customHeight="false" outlineLevel="0" collapsed="false">
      <c r="A14" s="51"/>
      <c r="B14" s="11" t="str">
        <f aca="false">IF(A14="","",INT((A14-'Start here'!$C$5)/7)+1)</f>
        <v/>
      </c>
      <c r="C14" s="20"/>
      <c r="D14" s="20"/>
      <c r="E14" s="20"/>
      <c r="F14" s="11" t="str">
        <f aca="false">IF(COUNT(C14:E14)&lt;3,"",SUM(C14:E14))</f>
        <v/>
      </c>
      <c r="G14" s="12" t="str">
        <f aca="false">IF(F14="","",IF(F14&lt;=6,"Technique and mobility only",IF(F14&lt;=8,"Main lift top set only; −1 set on every accessory; RPE cap 7","Train as planned")))</f>
        <v/>
      </c>
      <c r="H14" s="20"/>
      <c r="I14" s="20"/>
      <c r="J14" s="54"/>
      <c r="K14" s="12" t="str">
        <f aca="false">IF(I14="","",IF(I14&gt;=5,"Drop that pattern this week",IF(I14&gt;=3,"Swap that exercise","OK")))</f>
        <v/>
      </c>
      <c r="L14" s="20"/>
      <c r="N14" s="11" t="n">
        <v>13</v>
      </c>
      <c r="O14" s="11" t="n">
        <f aca="false">COUNTIFS($B$2:$B$301,N14,$H$2:$H$301,"Y")</f>
        <v>0</v>
      </c>
      <c r="P14" s="11" t="n">
        <f aca="false">COUNTIFS($B$2:$B$301,N14,$L$2:$L$301,"&gt;75")</f>
        <v>0</v>
      </c>
      <c r="Q14" s="12" t="str">
        <f aca="false">TRIM(IF(O14&gt;=2,"Cut lower-body accessories 25% next week. ","")&amp;IF(P14&gt;=2,"Sessions running long: trim the cut-first list.",""))</f>
        <v/>
      </c>
    </row>
    <row r="15" customFormat="false" ht="15" hidden="false" customHeight="false" outlineLevel="0" collapsed="false">
      <c r="A15" s="51"/>
      <c r="B15" s="11" t="str">
        <f aca="false">IF(A15="","",INT((A15-'Start here'!$C$5)/7)+1)</f>
        <v/>
      </c>
      <c r="C15" s="20"/>
      <c r="D15" s="20"/>
      <c r="E15" s="20"/>
      <c r="F15" s="11" t="str">
        <f aca="false">IF(COUNT(C15:E15)&lt;3,"",SUM(C15:E15))</f>
        <v/>
      </c>
      <c r="G15" s="12" t="str">
        <f aca="false">IF(F15="","",IF(F15&lt;=6,"Technique and mobility only",IF(F15&lt;=8,"Main lift top set only; −1 set on every accessory; RPE cap 7","Train as planned")))</f>
        <v/>
      </c>
      <c r="H15" s="20"/>
      <c r="I15" s="20"/>
      <c r="J15" s="54"/>
      <c r="K15" s="12" t="str">
        <f aca="false">IF(I15="","",IF(I15&gt;=5,"Drop that pattern this week",IF(I15&gt;=3,"Swap that exercise","OK")))</f>
        <v/>
      </c>
      <c r="L15" s="20"/>
      <c r="N15" s="11" t="n">
        <v>14</v>
      </c>
      <c r="O15" s="11" t="n">
        <f aca="false">COUNTIFS($B$2:$B$301,N15,$H$2:$H$301,"Y")</f>
        <v>0</v>
      </c>
      <c r="P15" s="11" t="n">
        <f aca="false">COUNTIFS($B$2:$B$301,N15,$L$2:$L$301,"&gt;75")</f>
        <v>0</v>
      </c>
      <c r="Q15" s="12" t="str">
        <f aca="false">TRIM(IF(O15&gt;=2,"Cut lower-body accessories 25% next week. ","")&amp;IF(P15&gt;=2,"Sessions running long: trim the cut-first list.",""))</f>
        <v/>
      </c>
    </row>
    <row r="16" customFormat="false" ht="15" hidden="false" customHeight="false" outlineLevel="0" collapsed="false">
      <c r="A16" s="51"/>
      <c r="B16" s="11" t="str">
        <f aca="false">IF(A16="","",INT((A16-'Start here'!$C$5)/7)+1)</f>
        <v/>
      </c>
      <c r="C16" s="20"/>
      <c r="D16" s="20"/>
      <c r="E16" s="20"/>
      <c r="F16" s="11" t="str">
        <f aca="false">IF(COUNT(C16:E16)&lt;3,"",SUM(C16:E16))</f>
        <v/>
      </c>
      <c r="G16" s="12" t="str">
        <f aca="false">IF(F16="","",IF(F16&lt;=6,"Technique and mobility only",IF(F16&lt;=8,"Main lift top set only; −1 set on every accessory; RPE cap 7","Train as planned")))</f>
        <v/>
      </c>
      <c r="H16" s="20"/>
      <c r="I16" s="20"/>
      <c r="J16" s="54"/>
      <c r="K16" s="12" t="str">
        <f aca="false">IF(I16="","",IF(I16&gt;=5,"Drop that pattern this week",IF(I16&gt;=3,"Swap that exercise","OK")))</f>
        <v/>
      </c>
      <c r="L16" s="20"/>
      <c r="N16" s="11" t="n">
        <v>15</v>
      </c>
      <c r="O16" s="11" t="n">
        <f aca="false">COUNTIFS($B$2:$B$301,N16,$H$2:$H$301,"Y")</f>
        <v>0</v>
      </c>
      <c r="P16" s="11" t="n">
        <f aca="false">COUNTIFS($B$2:$B$301,N16,$L$2:$L$301,"&gt;75")</f>
        <v>0</v>
      </c>
      <c r="Q16" s="12" t="str">
        <f aca="false">TRIM(IF(O16&gt;=2,"Cut lower-body accessories 25% next week. ","")&amp;IF(P16&gt;=2,"Sessions running long: trim the cut-first list.",""))</f>
        <v/>
      </c>
    </row>
    <row r="17" customFormat="false" ht="15" hidden="false" customHeight="false" outlineLevel="0" collapsed="false">
      <c r="A17" s="51"/>
      <c r="B17" s="11" t="str">
        <f aca="false">IF(A17="","",INT((A17-'Start here'!$C$5)/7)+1)</f>
        <v/>
      </c>
      <c r="C17" s="20"/>
      <c r="D17" s="20"/>
      <c r="E17" s="20"/>
      <c r="F17" s="11" t="str">
        <f aca="false">IF(COUNT(C17:E17)&lt;3,"",SUM(C17:E17))</f>
        <v/>
      </c>
      <c r="G17" s="12" t="str">
        <f aca="false">IF(F17="","",IF(F17&lt;=6,"Technique and mobility only",IF(F17&lt;=8,"Main lift top set only; −1 set on every accessory; RPE cap 7","Train as planned")))</f>
        <v/>
      </c>
      <c r="H17" s="20"/>
      <c r="I17" s="20"/>
      <c r="J17" s="54"/>
      <c r="K17" s="12" t="str">
        <f aca="false">IF(I17="","",IF(I17&gt;=5,"Drop that pattern this week",IF(I17&gt;=3,"Swap that exercise","OK")))</f>
        <v/>
      </c>
      <c r="L17" s="20"/>
      <c r="N17" s="11" t="n">
        <v>16</v>
      </c>
      <c r="O17" s="11" t="n">
        <f aca="false">COUNTIFS($B$2:$B$301,N17,$H$2:$H$301,"Y")</f>
        <v>0</v>
      </c>
      <c r="P17" s="11" t="n">
        <f aca="false">COUNTIFS($B$2:$B$301,N17,$L$2:$L$301,"&gt;75")</f>
        <v>0</v>
      </c>
      <c r="Q17" s="12" t="str">
        <f aca="false">TRIM(IF(O17&gt;=2,"Cut lower-body accessories 25% next week. ","")&amp;IF(P17&gt;=2,"Sessions running long: trim the cut-first list.",""))</f>
        <v/>
      </c>
    </row>
    <row r="18" customFormat="false" ht="15" hidden="false" customHeight="false" outlineLevel="0" collapsed="false">
      <c r="A18" s="51"/>
      <c r="B18" s="11" t="str">
        <f aca="false">IF(A18="","",INT((A18-'Start here'!$C$5)/7)+1)</f>
        <v/>
      </c>
      <c r="C18" s="20"/>
      <c r="D18" s="20"/>
      <c r="E18" s="20"/>
      <c r="F18" s="11" t="str">
        <f aca="false">IF(COUNT(C18:E18)&lt;3,"",SUM(C18:E18))</f>
        <v/>
      </c>
      <c r="G18" s="12" t="str">
        <f aca="false">IF(F18="","",IF(F18&lt;=6,"Technique and mobility only",IF(F18&lt;=8,"Main lift top set only; −1 set on every accessory; RPE cap 7","Train as planned")))</f>
        <v/>
      </c>
      <c r="H18" s="20"/>
      <c r="I18" s="20"/>
      <c r="J18" s="54"/>
      <c r="K18" s="12" t="str">
        <f aca="false">IF(I18="","",IF(I18&gt;=5,"Drop that pattern this week",IF(I18&gt;=3,"Swap that exercise","OK")))</f>
        <v/>
      </c>
      <c r="L18" s="20"/>
      <c r="N18" s="11" t="n">
        <v>17</v>
      </c>
      <c r="O18" s="11" t="n">
        <f aca="false">COUNTIFS($B$2:$B$301,N18,$H$2:$H$301,"Y")</f>
        <v>0</v>
      </c>
      <c r="P18" s="11" t="n">
        <f aca="false">COUNTIFS($B$2:$B$301,N18,$L$2:$L$301,"&gt;75")</f>
        <v>0</v>
      </c>
      <c r="Q18" s="12" t="str">
        <f aca="false">TRIM(IF(O18&gt;=2,"Cut lower-body accessories 25% next week. ","")&amp;IF(P18&gt;=2,"Sessions running long: trim the cut-first list.",""))</f>
        <v/>
      </c>
    </row>
    <row r="19" customFormat="false" ht="15" hidden="false" customHeight="false" outlineLevel="0" collapsed="false">
      <c r="A19" s="51"/>
      <c r="B19" s="11" t="str">
        <f aca="false">IF(A19="","",INT((A19-'Start here'!$C$5)/7)+1)</f>
        <v/>
      </c>
      <c r="C19" s="20"/>
      <c r="D19" s="20"/>
      <c r="E19" s="20"/>
      <c r="F19" s="11" t="str">
        <f aca="false">IF(COUNT(C19:E19)&lt;3,"",SUM(C19:E19))</f>
        <v/>
      </c>
      <c r="G19" s="12" t="str">
        <f aca="false">IF(F19="","",IF(F19&lt;=6,"Technique and mobility only",IF(F19&lt;=8,"Main lift top set only; −1 set on every accessory; RPE cap 7","Train as planned")))</f>
        <v/>
      </c>
      <c r="H19" s="20"/>
      <c r="I19" s="20"/>
      <c r="J19" s="54"/>
      <c r="K19" s="12" t="str">
        <f aca="false">IF(I19="","",IF(I19&gt;=5,"Drop that pattern this week",IF(I19&gt;=3,"Swap that exercise","OK")))</f>
        <v/>
      </c>
      <c r="L19" s="20"/>
      <c r="N19" s="11" t="n">
        <v>18</v>
      </c>
      <c r="O19" s="11" t="n">
        <f aca="false">COUNTIFS($B$2:$B$301,N19,$H$2:$H$301,"Y")</f>
        <v>0</v>
      </c>
      <c r="P19" s="11" t="n">
        <f aca="false">COUNTIFS($B$2:$B$301,N19,$L$2:$L$301,"&gt;75")</f>
        <v>0</v>
      </c>
      <c r="Q19" s="12" t="str">
        <f aca="false">TRIM(IF(O19&gt;=2,"Cut lower-body accessories 25% next week. ","")&amp;IF(P19&gt;=2,"Sessions running long: trim the cut-first list.",""))</f>
        <v/>
      </c>
    </row>
    <row r="20" customFormat="false" ht="15" hidden="false" customHeight="false" outlineLevel="0" collapsed="false">
      <c r="A20" s="51"/>
      <c r="B20" s="11" t="str">
        <f aca="false">IF(A20="","",INT((A20-'Start here'!$C$5)/7)+1)</f>
        <v/>
      </c>
      <c r="C20" s="20"/>
      <c r="D20" s="20"/>
      <c r="E20" s="20"/>
      <c r="F20" s="11" t="str">
        <f aca="false">IF(COUNT(C20:E20)&lt;3,"",SUM(C20:E20))</f>
        <v/>
      </c>
      <c r="G20" s="12" t="str">
        <f aca="false">IF(F20="","",IF(F20&lt;=6,"Technique and mobility only",IF(F20&lt;=8,"Main lift top set only; −1 set on every accessory; RPE cap 7","Train as planned")))</f>
        <v/>
      </c>
      <c r="H20" s="20"/>
      <c r="I20" s="20"/>
      <c r="J20" s="54"/>
      <c r="K20" s="12" t="str">
        <f aca="false">IF(I20="","",IF(I20&gt;=5,"Drop that pattern this week",IF(I20&gt;=3,"Swap that exercise","OK")))</f>
        <v/>
      </c>
      <c r="L20" s="20"/>
      <c r="N20" s="11" t="n">
        <v>19</v>
      </c>
      <c r="O20" s="11" t="n">
        <f aca="false">COUNTIFS($B$2:$B$301,N20,$H$2:$H$301,"Y")</f>
        <v>0</v>
      </c>
      <c r="P20" s="11" t="n">
        <f aca="false">COUNTIFS($B$2:$B$301,N20,$L$2:$L$301,"&gt;75")</f>
        <v>0</v>
      </c>
      <c r="Q20" s="12" t="str">
        <f aca="false">TRIM(IF(O20&gt;=2,"Cut lower-body accessories 25% next week. ","")&amp;IF(P20&gt;=2,"Sessions running long: trim the cut-first list.",""))</f>
        <v/>
      </c>
    </row>
    <row r="21" customFormat="false" ht="15" hidden="false" customHeight="false" outlineLevel="0" collapsed="false">
      <c r="A21" s="51"/>
      <c r="B21" s="11" t="str">
        <f aca="false">IF(A21="","",INT((A21-'Start here'!$C$5)/7)+1)</f>
        <v/>
      </c>
      <c r="C21" s="20"/>
      <c r="D21" s="20"/>
      <c r="E21" s="20"/>
      <c r="F21" s="11" t="str">
        <f aca="false">IF(COUNT(C21:E21)&lt;3,"",SUM(C21:E21))</f>
        <v/>
      </c>
      <c r="G21" s="12" t="str">
        <f aca="false">IF(F21="","",IF(F21&lt;=6,"Technique and mobility only",IF(F21&lt;=8,"Main lift top set only; −1 set on every accessory; RPE cap 7","Train as planned")))</f>
        <v/>
      </c>
      <c r="H21" s="20"/>
      <c r="I21" s="20"/>
      <c r="J21" s="54"/>
      <c r="K21" s="12" t="str">
        <f aca="false">IF(I21="","",IF(I21&gt;=5,"Drop that pattern this week",IF(I21&gt;=3,"Swap that exercise","OK")))</f>
        <v/>
      </c>
      <c r="L21" s="20"/>
      <c r="N21" s="11" t="n">
        <v>20</v>
      </c>
      <c r="O21" s="11" t="n">
        <f aca="false">COUNTIFS($B$2:$B$301,N21,$H$2:$H$301,"Y")</f>
        <v>0</v>
      </c>
      <c r="P21" s="11" t="n">
        <f aca="false">COUNTIFS($B$2:$B$301,N21,$L$2:$L$301,"&gt;75")</f>
        <v>0</v>
      </c>
      <c r="Q21" s="12" t="str">
        <f aca="false">TRIM(IF(O21&gt;=2,"Cut lower-body accessories 25% next week. ","")&amp;IF(P21&gt;=2,"Sessions running long: trim the cut-first list.",""))</f>
        <v/>
      </c>
    </row>
    <row r="22" customFormat="false" ht="15" hidden="false" customHeight="false" outlineLevel="0" collapsed="false">
      <c r="A22" s="51"/>
      <c r="B22" s="11" t="str">
        <f aca="false">IF(A22="","",INT((A22-'Start here'!$C$5)/7)+1)</f>
        <v/>
      </c>
      <c r="C22" s="20"/>
      <c r="D22" s="20"/>
      <c r="E22" s="20"/>
      <c r="F22" s="11" t="str">
        <f aca="false">IF(COUNT(C22:E22)&lt;3,"",SUM(C22:E22))</f>
        <v/>
      </c>
      <c r="G22" s="12" t="str">
        <f aca="false">IF(F22="","",IF(F22&lt;=6,"Technique and mobility only",IF(F22&lt;=8,"Main lift top set only; −1 set on every accessory; RPE cap 7","Train as planned")))</f>
        <v/>
      </c>
      <c r="H22" s="20"/>
      <c r="I22" s="20"/>
      <c r="J22" s="54"/>
      <c r="K22" s="12" t="str">
        <f aca="false">IF(I22="","",IF(I22&gt;=5,"Drop that pattern this week",IF(I22&gt;=3,"Swap that exercise","OK")))</f>
        <v/>
      </c>
      <c r="L22" s="20"/>
      <c r="N22" s="11" t="n">
        <v>21</v>
      </c>
      <c r="O22" s="11" t="n">
        <f aca="false">COUNTIFS($B$2:$B$301,N22,$H$2:$H$301,"Y")</f>
        <v>0</v>
      </c>
      <c r="P22" s="11" t="n">
        <f aca="false">COUNTIFS($B$2:$B$301,N22,$L$2:$L$301,"&gt;75")</f>
        <v>0</v>
      </c>
      <c r="Q22" s="12" t="str">
        <f aca="false">TRIM(IF(O22&gt;=2,"Cut lower-body accessories 25% next week. ","")&amp;IF(P22&gt;=2,"Sessions running long: trim the cut-first list.",""))</f>
        <v/>
      </c>
    </row>
    <row r="23" customFormat="false" ht="15" hidden="false" customHeight="false" outlineLevel="0" collapsed="false">
      <c r="A23" s="51"/>
      <c r="B23" s="11" t="str">
        <f aca="false">IF(A23="","",INT((A23-'Start here'!$C$5)/7)+1)</f>
        <v/>
      </c>
      <c r="C23" s="20"/>
      <c r="D23" s="20"/>
      <c r="E23" s="20"/>
      <c r="F23" s="11" t="str">
        <f aca="false">IF(COUNT(C23:E23)&lt;3,"",SUM(C23:E23))</f>
        <v/>
      </c>
      <c r="G23" s="12" t="str">
        <f aca="false">IF(F23="","",IF(F23&lt;=6,"Technique and mobility only",IF(F23&lt;=8,"Main lift top set only; −1 set on every accessory; RPE cap 7","Train as planned")))</f>
        <v/>
      </c>
      <c r="H23" s="20"/>
      <c r="I23" s="20"/>
      <c r="J23" s="54"/>
      <c r="K23" s="12" t="str">
        <f aca="false">IF(I23="","",IF(I23&gt;=5,"Drop that pattern this week",IF(I23&gt;=3,"Swap that exercise","OK")))</f>
        <v/>
      </c>
      <c r="L23" s="20"/>
      <c r="N23" s="11" t="n">
        <v>22</v>
      </c>
      <c r="O23" s="11" t="n">
        <f aca="false">COUNTIFS($B$2:$B$301,N23,$H$2:$H$301,"Y")</f>
        <v>0</v>
      </c>
      <c r="P23" s="11" t="n">
        <f aca="false">COUNTIFS($B$2:$B$301,N23,$L$2:$L$301,"&gt;75")</f>
        <v>0</v>
      </c>
      <c r="Q23" s="12" t="str">
        <f aca="false">TRIM(IF(O23&gt;=2,"Cut lower-body accessories 25% next week. ","")&amp;IF(P23&gt;=2,"Sessions running long: trim the cut-first list.",""))</f>
        <v/>
      </c>
    </row>
    <row r="24" customFormat="false" ht="15" hidden="false" customHeight="false" outlineLevel="0" collapsed="false">
      <c r="A24" s="51"/>
      <c r="B24" s="11" t="str">
        <f aca="false">IF(A24="","",INT((A24-'Start here'!$C$5)/7)+1)</f>
        <v/>
      </c>
      <c r="C24" s="20"/>
      <c r="D24" s="20"/>
      <c r="E24" s="20"/>
      <c r="F24" s="11" t="str">
        <f aca="false">IF(COUNT(C24:E24)&lt;3,"",SUM(C24:E24))</f>
        <v/>
      </c>
      <c r="G24" s="12" t="str">
        <f aca="false">IF(F24="","",IF(F24&lt;=6,"Technique and mobility only",IF(F24&lt;=8,"Main lift top set only; −1 set on every accessory; RPE cap 7","Train as planned")))</f>
        <v/>
      </c>
      <c r="H24" s="20"/>
      <c r="I24" s="20"/>
      <c r="J24" s="54"/>
      <c r="K24" s="12" t="str">
        <f aca="false">IF(I24="","",IF(I24&gt;=5,"Drop that pattern this week",IF(I24&gt;=3,"Swap that exercise","OK")))</f>
        <v/>
      </c>
      <c r="L24" s="20"/>
      <c r="N24" s="11" t="n">
        <v>23</v>
      </c>
      <c r="O24" s="11" t="n">
        <f aca="false">COUNTIFS($B$2:$B$301,N24,$H$2:$H$301,"Y")</f>
        <v>0</v>
      </c>
      <c r="P24" s="11" t="n">
        <f aca="false">COUNTIFS($B$2:$B$301,N24,$L$2:$L$301,"&gt;75")</f>
        <v>0</v>
      </c>
      <c r="Q24" s="12" t="str">
        <f aca="false">TRIM(IF(O24&gt;=2,"Cut lower-body accessories 25% next week. ","")&amp;IF(P24&gt;=2,"Sessions running long: trim the cut-first list.",""))</f>
        <v/>
      </c>
    </row>
    <row r="25" customFormat="false" ht="15" hidden="false" customHeight="false" outlineLevel="0" collapsed="false">
      <c r="A25" s="51"/>
      <c r="B25" s="11" t="str">
        <f aca="false">IF(A25="","",INT((A25-'Start here'!$C$5)/7)+1)</f>
        <v/>
      </c>
      <c r="C25" s="20"/>
      <c r="D25" s="20"/>
      <c r="E25" s="20"/>
      <c r="F25" s="11" t="str">
        <f aca="false">IF(COUNT(C25:E25)&lt;3,"",SUM(C25:E25))</f>
        <v/>
      </c>
      <c r="G25" s="12" t="str">
        <f aca="false">IF(F25="","",IF(F25&lt;=6,"Technique and mobility only",IF(F25&lt;=8,"Main lift top set only; −1 set on every accessory; RPE cap 7","Train as planned")))</f>
        <v/>
      </c>
      <c r="H25" s="20"/>
      <c r="I25" s="20"/>
      <c r="J25" s="54"/>
      <c r="K25" s="12" t="str">
        <f aca="false">IF(I25="","",IF(I25&gt;=5,"Drop that pattern this week",IF(I25&gt;=3,"Swap that exercise","OK")))</f>
        <v/>
      </c>
      <c r="L25" s="20"/>
      <c r="N25" s="11" t="n">
        <v>24</v>
      </c>
      <c r="O25" s="11" t="n">
        <f aca="false">COUNTIFS($B$2:$B$301,N25,$H$2:$H$301,"Y")</f>
        <v>0</v>
      </c>
      <c r="P25" s="11" t="n">
        <f aca="false">COUNTIFS($B$2:$B$301,N25,$L$2:$L$301,"&gt;75")</f>
        <v>0</v>
      </c>
      <c r="Q25" s="12" t="str">
        <f aca="false">TRIM(IF(O25&gt;=2,"Cut lower-body accessories 25% next week. ","")&amp;IF(P25&gt;=2,"Sessions running long: trim the cut-first list.",""))</f>
        <v/>
      </c>
    </row>
    <row r="26" customFormat="false" ht="15" hidden="false" customHeight="false" outlineLevel="0" collapsed="false">
      <c r="A26" s="51"/>
      <c r="B26" s="11" t="str">
        <f aca="false">IF(A26="","",INT((A26-'Start here'!$C$5)/7)+1)</f>
        <v/>
      </c>
      <c r="C26" s="20"/>
      <c r="D26" s="20"/>
      <c r="E26" s="20"/>
      <c r="F26" s="11" t="str">
        <f aca="false">IF(COUNT(C26:E26)&lt;3,"",SUM(C26:E26))</f>
        <v/>
      </c>
      <c r="G26" s="12" t="str">
        <f aca="false">IF(F26="","",IF(F26&lt;=6,"Technique and mobility only",IF(F26&lt;=8,"Main lift top set only; −1 set on every accessory; RPE cap 7","Train as planned")))</f>
        <v/>
      </c>
      <c r="H26" s="20"/>
      <c r="I26" s="20"/>
      <c r="J26" s="54"/>
      <c r="K26" s="12" t="str">
        <f aca="false">IF(I26="","",IF(I26&gt;=5,"Drop that pattern this week",IF(I26&gt;=3,"Swap that exercise","OK")))</f>
        <v/>
      </c>
      <c r="L26" s="20"/>
      <c r="N26" s="11" t="n">
        <v>25</v>
      </c>
      <c r="O26" s="11" t="n">
        <f aca="false">COUNTIFS($B$2:$B$301,N26,$H$2:$H$301,"Y")</f>
        <v>0</v>
      </c>
      <c r="P26" s="11" t="n">
        <f aca="false">COUNTIFS($B$2:$B$301,N26,$L$2:$L$301,"&gt;75")</f>
        <v>0</v>
      </c>
      <c r="Q26" s="12" t="str">
        <f aca="false">TRIM(IF(O26&gt;=2,"Cut lower-body accessories 25% next week. ","")&amp;IF(P26&gt;=2,"Sessions running long: trim the cut-first list.",""))</f>
        <v/>
      </c>
    </row>
    <row r="27" customFormat="false" ht="15" hidden="false" customHeight="false" outlineLevel="0" collapsed="false">
      <c r="A27" s="51"/>
      <c r="B27" s="11" t="str">
        <f aca="false">IF(A27="","",INT((A27-'Start here'!$C$5)/7)+1)</f>
        <v/>
      </c>
      <c r="C27" s="20"/>
      <c r="D27" s="20"/>
      <c r="E27" s="20"/>
      <c r="F27" s="11" t="str">
        <f aca="false">IF(COUNT(C27:E27)&lt;3,"",SUM(C27:E27))</f>
        <v/>
      </c>
      <c r="G27" s="12" t="str">
        <f aca="false">IF(F27="","",IF(F27&lt;=6,"Technique and mobility only",IF(F27&lt;=8,"Main lift top set only; −1 set on every accessory; RPE cap 7","Train as planned")))</f>
        <v/>
      </c>
      <c r="H27" s="20"/>
      <c r="I27" s="20"/>
      <c r="J27" s="54"/>
      <c r="K27" s="12" t="str">
        <f aca="false">IF(I27="","",IF(I27&gt;=5,"Drop that pattern this week",IF(I27&gt;=3,"Swap that exercise","OK")))</f>
        <v/>
      </c>
      <c r="L27" s="20"/>
      <c r="N27" s="11" t="n">
        <v>26</v>
      </c>
      <c r="O27" s="11" t="n">
        <f aca="false">COUNTIFS($B$2:$B$301,N27,$H$2:$H$301,"Y")</f>
        <v>0</v>
      </c>
      <c r="P27" s="11" t="n">
        <f aca="false">COUNTIFS($B$2:$B$301,N27,$L$2:$L$301,"&gt;75")</f>
        <v>0</v>
      </c>
      <c r="Q27" s="12" t="str">
        <f aca="false">TRIM(IF(O27&gt;=2,"Cut lower-body accessories 25% next week. ","")&amp;IF(P27&gt;=2,"Sessions running long: trim the cut-first list.",""))</f>
        <v/>
      </c>
    </row>
    <row r="28" customFormat="false" ht="15" hidden="false" customHeight="false" outlineLevel="0" collapsed="false">
      <c r="A28" s="51"/>
      <c r="B28" s="11" t="str">
        <f aca="false">IF(A28="","",INT((A28-'Start here'!$C$5)/7)+1)</f>
        <v/>
      </c>
      <c r="C28" s="20"/>
      <c r="D28" s="20"/>
      <c r="E28" s="20"/>
      <c r="F28" s="11" t="str">
        <f aca="false">IF(COUNT(C28:E28)&lt;3,"",SUM(C28:E28))</f>
        <v/>
      </c>
      <c r="G28" s="12" t="str">
        <f aca="false">IF(F28="","",IF(F28&lt;=6,"Technique and mobility only",IF(F28&lt;=8,"Main lift top set only; −1 set on every accessory; RPE cap 7","Train as planned")))</f>
        <v/>
      </c>
      <c r="H28" s="20"/>
      <c r="I28" s="20"/>
      <c r="J28" s="54"/>
      <c r="K28" s="12" t="str">
        <f aca="false">IF(I28="","",IF(I28&gt;=5,"Drop that pattern this week",IF(I28&gt;=3,"Swap that exercise","OK")))</f>
        <v/>
      </c>
      <c r="L28" s="20"/>
      <c r="N28" s="11" t="n">
        <v>27</v>
      </c>
      <c r="O28" s="11" t="n">
        <f aca="false">COUNTIFS($B$2:$B$301,N28,$H$2:$H$301,"Y")</f>
        <v>0</v>
      </c>
      <c r="P28" s="11" t="n">
        <f aca="false">COUNTIFS($B$2:$B$301,N28,$L$2:$L$301,"&gt;75")</f>
        <v>0</v>
      </c>
      <c r="Q28" s="12" t="str">
        <f aca="false">TRIM(IF(O28&gt;=2,"Cut lower-body accessories 25% next week. ","")&amp;IF(P28&gt;=2,"Sessions running long: trim the cut-first list.",""))</f>
        <v/>
      </c>
    </row>
    <row r="29" customFormat="false" ht="15" hidden="false" customHeight="false" outlineLevel="0" collapsed="false">
      <c r="A29" s="51"/>
      <c r="B29" s="11" t="str">
        <f aca="false">IF(A29="","",INT((A29-'Start here'!$C$5)/7)+1)</f>
        <v/>
      </c>
      <c r="C29" s="20"/>
      <c r="D29" s="20"/>
      <c r="E29" s="20"/>
      <c r="F29" s="11" t="str">
        <f aca="false">IF(COUNT(C29:E29)&lt;3,"",SUM(C29:E29))</f>
        <v/>
      </c>
      <c r="G29" s="12" t="str">
        <f aca="false">IF(F29="","",IF(F29&lt;=6,"Technique and mobility only",IF(F29&lt;=8,"Main lift top set only; −1 set on every accessory; RPE cap 7","Train as planned")))</f>
        <v/>
      </c>
      <c r="H29" s="20"/>
      <c r="I29" s="20"/>
      <c r="J29" s="54"/>
      <c r="K29" s="12" t="str">
        <f aca="false">IF(I29="","",IF(I29&gt;=5,"Drop that pattern this week",IF(I29&gt;=3,"Swap that exercise","OK")))</f>
        <v/>
      </c>
      <c r="L29" s="20"/>
      <c r="N29" s="11" t="n">
        <v>28</v>
      </c>
      <c r="O29" s="11" t="n">
        <f aca="false">COUNTIFS($B$2:$B$301,N29,$H$2:$H$301,"Y")</f>
        <v>0</v>
      </c>
      <c r="P29" s="11" t="n">
        <f aca="false">COUNTIFS($B$2:$B$301,N29,$L$2:$L$301,"&gt;75")</f>
        <v>0</v>
      </c>
      <c r="Q29" s="12" t="str">
        <f aca="false">TRIM(IF(O29&gt;=2,"Cut lower-body accessories 25% next week. ","")&amp;IF(P29&gt;=2,"Sessions running long: trim the cut-first list.",""))</f>
        <v/>
      </c>
    </row>
    <row r="30" customFormat="false" ht="15" hidden="false" customHeight="false" outlineLevel="0" collapsed="false">
      <c r="A30" s="51"/>
      <c r="B30" s="11" t="str">
        <f aca="false">IF(A30="","",INT((A30-'Start here'!$C$5)/7)+1)</f>
        <v/>
      </c>
      <c r="C30" s="20"/>
      <c r="D30" s="20"/>
      <c r="E30" s="20"/>
      <c r="F30" s="11" t="str">
        <f aca="false">IF(COUNT(C30:E30)&lt;3,"",SUM(C30:E30))</f>
        <v/>
      </c>
      <c r="G30" s="12" t="str">
        <f aca="false">IF(F30="","",IF(F30&lt;=6,"Technique and mobility only",IF(F30&lt;=8,"Main lift top set only; −1 set on every accessory; RPE cap 7","Train as planned")))</f>
        <v/>
      </c>
      <c r="H30" s="20"/>
      <c r="I30" s="20"/>
      <c r="J30" s="54"/>
      <c r="K30" s="12" t="str">
        <f aca="false">IF(I30="","",IF(I30&gt;=5,"Drop that pattern this week",IF(I30&gt;=3,"Swap that exercise","OK")))</f>
        <v/>
      </c>
      <c r="L30" s="20"/>
      <c r="N30" s="11" t="n">
        <v>29</v>
      </c>
      <c r="O30" s="11" t="n">
        <f aca="false">COUNTIFS($B$2:$B$301,N30,$H$2:$H$301,"Y")</f>
        <v>0</v>
      </c>
      <c r="P30" s="11" t="n">
        <f aca="false">COUNTIFS($B$2:$B$301,N30,$L$2:$L$301,"&gt;75")</f>
        <v>0</v>
      </c>
      <c r="Q30" s="12" t="str">
        <f aca="false">TRIM(IF(O30&gt;=2,"Cut lower-body accessories 25% next week. ","")&amp;IF(P30&gt;=2,"Sessions running long: trim the cut-first list.",""))</f>
        <v/>
      </c>
    </row>
    <row r="31" customFormat="false" ht="15" hidden="false" customHeight="false" outlineLevel="0" collapsed="false">
      <c r="A31" s="51"/>
      <c r="B31" s="11" t="str">
        <f aca="false">IF(A31="","",INT((A31-'Start here'!$C$5)/7)+1)</f>
        <v/>
      </c>
      <c r="C31" s="20"/>
      <c r="D31" s="20"/>
      <c r="E31" s="20"/>
      <c r="F31" s="11" t="str">
        <f aca="false">IF(COUNT(C31:E31)&lt;3,"",SUM(C31:E31))</f>
        <v/>
      </c>
      <c r="G31" s="12" t="str">
        <f aca="false">IF(F31="","",IF(F31&lt;=6,"Technique and mobility only",IF(F31&lt;=8,"Main lift top set only; −1 set on every accessory; RPE cap 7","Train as planned")))</f>
        <v/>
      </c>
      <c r="H31" s="20"/>
      <c r="I31" s="20"/>
      <c r="J31" s="54"/>
      <c r="K31" s="12" t="str">
        <f aca="false">IF(I31="","",IF(I31&gt;=5,"Drop that pattern this week",IF(I31&gt;=3,"Swap that exercise","OK")))</f>
        <v/>
      </c>
      <c r="L31" s="20"/>
      <c r="N31" s="11" t="n">
        <v>30</v>
      </c>
      <c r="O31" s="11" t="n">
        <f aca="false">COUNTIFS($B$2:$B$301,N31,$H$2:$H$301,"Y")</f>
        <v>0</v>
      </c>
      <c r="P31" s="11" t="n">
        <f aca="false">COUNTIFS($B$2:$B$301,N31,$L$2:$L$301,"&gt;75")</f>
        <v>0</v>
      </c>
      <c r="Q31" s="12" t="str">
        <f aca="false">TRIM(IF(O31&gt;=2,"Cut lower-body accessories 25% next week. ","")&amp;IF(P31&gt;=2,"Sessions running long: trim the cut-first list.",""))</f>
        <v/>
      </c>
    </row>
    <row r="32" customFormat="false" ht="15" hidden="false" customHeight="false" outlineLevel="0" collapsed="false">
      <c r="A32" s="51"/>
      <c r="B32" s="11" t="str">
        <f aca="false">IF(A32="","",INT((A32-'Start here'!$C$5)/7)+1)</f>
        <v/>
      </c>
      <c r="C32" s="20"/>
      <c r="D32" s="20"/>
      <c r="E32" s="20"/>
      <c r="F32" s="11" t="str">
        <f aca="false">IF(COUNT(C32:E32)&lt;3,"",SUM(C32:E32))</f>
        <v/>
      </c>
      <c r="G32" s="12" t="str">
        <f aca="false">IF(F32="","",IF(F32&lt;=6,"Technique and mobility only",IF(F32&lt;=8,"Main lift top set only; −1 set on every accessory; RPE cap 7","Train as planned")))</f>
        <v/>
      </c>
      <c r="H32" s="20"/>
      <c r="I32" s="20"/>
      <c r="J32" s="54"/>
      <c r="K32" s="12" t="str">
        <f aca="false">IF(I32="","",IF(I32&gt;=5,"Drop that pattern this week",IF(I32&gt;=3,"Swap that exercise","OK")))</f>
        <v/>
      </c>
      <c r="L32" s="20"/>
      <c r="N32" s="11" t="n">
        <v>31</v>
      </c>
      <c r="O32" s="11" t="n">
        <f aca="false">COUNTIFS($B$2:$B$301,N32,$H$2:$H$301,"Y")</f>
        <v>0</v>
      </c>
      <c r="P32" s="11" t="n">
        <f aca="false">COUNTIFS($B$2:$B$301,N32,$L$2:$L$301,"&gt;75")</f>
        <v>0</v>
      </c>
      <c r="Q32" s="12" t="str">
        <f aca="false">TRIM(IF(O32&gt;=2,"Cut lower-body accessories 25% next week. ","")&amp;IF(P32&gt;=2,"Sessions running long: trim the cut-first list.",""))</f>
        <v/>
      </c>
    </row>
    <row r="33" customFormat="false" ht="15" hidden="false" customHeight="false" outlineLevel="0" collapsed="false">
      <c r="A33" s="51"/>
      <c r="B33" s="11" t="str">
        <f aca="false">IF(A33="","",INT((A33-'Start here'!$C$5)/7)+1)</f>
        <v/>
      </c>
      <c r="C33" s="20"/>
      <c r="D33" s="20"/>
      <c r="E33" s="20"/>
      <c r="F33" s="11" t="str">
        <f aca="false">IF(COUNT(C33:E33)&lt;3,"",SUM(C33:E33))</f>
        <v/>
      </c>
      <c r="G33" s="12" t="str">
        <f aca="false">IF(F33="","",IF(F33&lt;=6,"Technique and mobility only",IF(F33&lt;=8,"Main lift top set only; −1 set on every accessory; RPE cap 7","Train as planned")))</f>
        <v/>
      </c>
      <c r="H33" s="20"/>
      <c r="I33" s="20"/>
      <c r="J33" s="54"/>
      <c r="K33" s="12" t="str">
        <f aca="false">IF(I33="","",IF(I33&gt;=5,"Drop that pattern this week",IF(I33&gt;=3,"Swap that exercise","OK")))</f>
        <v/>
      </c>
      <c r="L33" s="20"/>
    </row>
    <row r="34" customFormat="false" ht="15" hidden="false" customHeight="false" outlineLevel="0" collapsed="false">
      <c r="A34" s="51"/>
      <c r="B34" s="11" t="str">
        <f aca="false">IF(A34="","",INT((A34-'Start here'!$C$5)/7)+1)</f>
        <v/>
      </c>
      <c r="C34" s="20"/>
      <c r="D34" s="20"/>
      <c r="E34" s="20"/>
      <c r="F34" s="11" t="str">
        <f aca="false">IF(COUNT(C34:E34)&lt;3,"",SUM(C34:E34))</f>
        <v/>
      </c>
      <c r="G34" s="12" t="str">
        <f aca="false">IF(F34="","",IF(F34&lt;=6,"Technique and mobility only",IF(F34&lt;=8,"Main lift top set only; −1 set on every accessory; RPE cap 7","Train as planned")))</f>
        <v/>
      </c>
      <c r="H34" s="20"/>
      <c r="I34" s="20"/>
      <c r="J34" s="54"/>
      <c r="K34" s="12" t="str">
        <f aca="false">IF(I34="","",IF(I34&gt;=5,"Drop that pattern this week",IF(I34&gt;=3,"Swap that exercise","OK")))</f>
        <v/>
      </c>
      <c r="L34" s="20"/>
    </row>
    <row r="35" customFormat="false" ht="15" hidden="false" customHeight="false" outlineLevel="0" collapsed="false">
      <c r="A35" s="51"/>
      <c r="B35" s="11" t="str">
        <f aca="false">IF(A35="","",INT((A35-'Start here'!$C$5)/7)+1)</f>
        <v/>
      </c>
      <c r="C35" s="20"/>
      <c r="D35" s="20"/>
      <c r="E35" s="20"/>
      <c r="F35" s="11" t="str">
        <f aca="false">IF(COUNT(C35:E35)&lt;3,"",SUM(C35:E35))</f>
        <v/>
      </c>
      <c r="G35" s="12" t="str">
        <f aca="false">IF(F35="","",IF(F35&lt;=6,"Technique and mobility only",IF(F35&lt;=8,"Main lift top set only; −1 set on every accessory; RPE cap 7","Train as planned")))</f>
        <v/>
      </c>
      <c r="H35" s="20"/>
      <c r="I35" s="20"/>
      <c r="J35" s="54"/>
      <c r="K35" s="12" t="str">
        <f aca="false">IF(I35="","",IF(I35&gt;=5,"Drop that pattern this week",IF(I35&gt;=3,"Swap that exercise","OK")))</f>
        <v/>
      </c>
      <c r="L35" s="20"/>
    </row>
    <row r="36" customFormat="false" ht="15" hidden="false" customHeight="false" outlineLevel="0" collapsed="false">
      <c r="A36" s="51"/>
      <c r="B36" s="11" t="str">
        <f aca="false">IF(A36="","",INT((A36-'Start here'!$C$5)/7)+1)</f>
        <v/>
      </c>
      <c r="C36" s="20"/>
      <c r="D36" s="20"/>
      <c r="E36" s="20"/>
      <c r="F36" s="11" t="str">
        <f aca="false">IF(COUNT(C36:E36)&lt;3,"",SUM(C36:E36))</f>
        <v/>
      </c>
      <c r="G36" s="12" t="str">
        <f aca="false">IF(F36="","",IF(F36&lt;=6,"Technique and mobility only",IF(F36&lt;=8,"Main lift top set only; −1 set on every accessory; RPE cap 7","Train as planned")))</f>
        <v/>
      </c>
      <c r="H36" s="20"/>
      <c r="I36" s="20"/>
      <c r="J36" s="54"/>
      <c r="K36" s="12" t="str">
        <f aca="false">IF(I36="","",IF(I36&gt;=5,"Drop that pattern this week",IF(I36&gt;=3,"Swap that exercise","OK")))</f>
        <v/>
      </c>
      <c r="L36" s="20"/>
    </row>
    <row r="37" customFormat="false" ht="15" hidden="false" customHeight="false" outlineLevel="0" collapsed="false">
      <c r="A37" s="51"/>
      <c r="B37" s="11" t="str">
        <f aca="false">IF(A37="","",INT((A37-'Start here'!$C$5)/7)+1)</f>
        <v/>
      </c>
      <c r="C37" s="20"/>
      <c r="D37" s="20"/>
      <c r="E37" s="20"/>
      <c r="F37" s="11" t="str">
        <f aca="false">IF(COUNT(C37:E37)&lt;3,"",SUM(C37:E37))</f>
        <v/>
      </c>
      <c r="G37" s="12" t="str">
        <f aca="false">IF(F37="","",IF(F37&lt;=6,"Technique and mobility only",IF(F37&lt;=8,"Main lift top set only; −1 set on every accessory; RPE cap 7","Train as planned")))</f>
        <v/>
      </c>
      <c r="H37" s="20"/>
      <c r="I37" s="20"/>
      <c r="J37" s="54"/>
      <c r="K37" s="12" t="str">
        <f aca="false">IF(I37="","",IF(I37&gt;=5,"Drop that pattern this week",IF(I37&gt;=3,"Swap that exercise","OK")))</f>
        <v/>
      </c>
      <c r="L37" s="20"/>
    </row>
    <row r="38" customFormat="false" ht="15" hidden="false" customHeight="false" outlineLevel="0" collapsed="false">
      <c r="A38" s="51"/>
      <c r="B38" s="11" t="str">
        <f aca="false">IF(A38="","",INT((A38-'Start here'!$C$5)/7)+1)</f>
        <v/>
      </c>
      <c r="C38" s="20"/>
      <c r="D38" s="20"/>
      <c r="E38" s="20"/>
      <c r="F38" s="11" t="str">
        <f aca="false">IF(COUNT(C38:E38)&lt;3,"",SUM(C38:E38))</f>
        <v/>
      </c>
      <c r="G38" s="12" t="str">
        <f aca="false">IF(F38="","",IF(F38&lt;=6,"Technique and mobility only",IF(F38&lt;=8,"Main lift top set only; −1 set on every accessory; RPE cap 7","Train as planned")))</f>
        <v/>
      </c>
      <c r="H38" s="20"/>
      <c r="I38" s="20"/>
      <c r="J38" s="54"/>
      <c r="K38" s="12" t="str">
        <f aca="false">IF(I38="","",IF(I38&gt;=5,"Drop that pattern this week",IF(I38&gt;=3,"Swap that exercise","OK")))</f>
        <v/>
      </c>
      <c r="L38" s="20"/>
    </row>
    <row r="39" customFormat="false" ht="15" hidden="false" customHeight="false" outlineLevel="0" collapsed="false">
      <c r="A39" s="51"/>
      <c r="B39" s="11" t="str">
        <f aca="false">IF(A39="","",INT((A39-'Start here'!$C$5)/7)+1)</f>
        <v/>
      </c>
      <c r="C39" s="20"/>
      <c r="D39" s="20"/>
      <c r="E39" s="20"/>
      <c r="F39" s="11" t="str">
        <f aca="false">IF(COUNT(C39:E39)&lt;3,"",SUM(C39:E39))</f>
        <v/>
      </c>
      <c r="G39" s="12" t="str">
        <f aca="false">IF(F39="","",IF(F39&lt;=6,"Technique and mobility only",IF(F39&lt;=8,"Main lift top set only; −1 set on every accessory; RPE cap 7","Train as planned")))</f>
        <v/>
      </c>
      <c r="H39" s="20"/>
      <c r="I39" s="20"/>
      <c r="J39" s="54"/>
      <c r="K39" s="12" t="str">
        <f aca="false">IF(I39="","",IF(I39&gt;=5,"Drop that pattern this week",IF(I39&gt;=3,"Swap that exercise","OK")))</f>
        <v/>
      </c>
      <c r="L39" s="20"/>
    </row>
    <row r="40" customFormat="false" ht="15" hidden="false" customHeight="false" outlineLevel="0" collapsed="false">
      <c r="A40" s="51"/>
      <c r="B40" s="11" t="str">
        <f aca="false">IF(A40="","",INT((A40-'Start here'!$C$5)/7)+1)</f>
        <v/>
      </c>
      <c r="C40" s="20"/>
      <c r="D40" s="20"/>
      <c r="E40" s="20"/>
      <c r="F40" s="11" t="str">
        <f aca="false">IF(COUNT(C40:E40)&lt;3,"",SUM(C40:E40))</f>
        <v/>
      </c>
      <c r="G40" s="12" t="str">
        <f aca="false">IF(F40="","",IF(F40&lt;=6,"Technique and mobility only",IF(F40&lt;=8,"Main lift top set only; −1 set on every accessory; RPE cap 7","Train as planned")))</f>
        <v/>
      </c>
      <c r="H40" s="20"/>
      <c r="I40" s="20"/>
      <c r="J40" s="54"/>
      <c r="K40" s="12" t="str">
        <f aca="false">IF(I40="","",IF(I40&gt;=5,"Drop that pattern this week",IF(I40&gt;=3,"Swap that exercise","OK")))</f>
        <v/>
      </c>
      <c r="L40" s="20"/>
    </row>
    <row r="41" customFormat="false" ht="15" hidden="false" customHeight="false" outlineLevel="0" collapsed="false">
      <c r="A41" s="51"/>
      <c r="B41" s="11" t="str">
        <f aca="false">IF(A41="","",INT((A41-'Start here'!$C$5)/7)+1)</f>
        <v/>
      </c>
      <c r="C41" s="20"/>
      <c r="D41" s="20"/>
      <c r="E41" s="20"/>
      <c r="F41" s="11" t="str">
        <f aca="false">IF(COUNT(C41:E41)&lt;3,"",SUM(C41:E41))</f>
        <v/>
      </c>
      <c r="G41" s="12" t="str">
        <f aca="false">IF(F41="","",IF(F41&lt;=6,"Technique and mobility only",IF(F41&lt;=8,"Main lift top set only; −1 set on every accessory; RPE cap 7","Train as planned")))</f>
        <v/>
      </c>
      <c r="H41" s="20"/>
      <c r="I41" s="20"/>
      <c r="J41" s="54"/>
      <c r="K41" s="12" t="str">
        <f aca="false">IF(I41="","",IF(I41&gt;=5,"Drop that pattern this week",IF(I41&gt;=3,"Swap that exercise","OK")))</f>
        <v/>
      </c>
      <c r="L41" s="20"/>
    </row>
    <row r="42" customFormat="false" ht="15" hidden="false" customHeight="false" outlineLevel="0" collapsed="false">
      <c r="A42" s="51"/>
      <c r="B42" s="11" t="str">
        <f aca="false">IF(A42="","",INT((A42-'Start here'!$C$5)/7)+1)</f>
        <v/>
      </c>
      <c r="C42" s="20"/>
      <c r="D42" s="20"/>
      <c r="E42" s="20"/>
      <c r="F42" s="11" t="str">
        <f aca="false">IF(COUNT(C42:E42)&lt;3,"",SUM(C42:E42))</f>
        <v/>
      </c>
      <c r="G42" s="12" t="str">
        <f aca="false">IF(F42="","",IF(F42&lt;=6,"Technique and mobility only",IF(F42&lt;=8,"Main lift top set only; −1 set on every accessory; RPE cap 7","Train as planned")))</f>
        <v/>
      </c>
      <c r="H42" s="20"/>
      <c r="I42" s="20"/>
      <c r="J42" s="54"/>
      <c r="K42" s="12" t="str">
        <f aca="false">IF(I42="","",IF(I42&gt;=5,"Drop that pattern this week",IF(I42&gt;=3,"Swap that exercise","OK")))</f>
        <v/>
      </c>
      <c r="L42" s="20"/>
    </row>
    <row r="43" customFormat="false" ht="15" hidden="false" customHeight="false" outlineLevel="0" collapsed="false">
      <c r="A43" s="51"/>
      <c r="B43" s="11" t="str">
        <f aca="false">IF(A43="","",INT((A43-'Start here'!$C$5)/7)+1)</f>
        <v/>
      </c>
      <c r="C43" s="20"/>
      <c r="D43" s="20"/>
      <c r="E43" s="20"/>
      <c r="F43" s="11" t="str">
        <f aca="false">IF(COUNT(C43:E43)&lt;3,"",SUM(C43:E43))</f>
        <v/>
      </c>
      <c r="G43" s="12" t="str">
        <f aca="false">IF(F43="","",IF(F43&lt;=6,"Technique and mobility only",IF(F43&lt;=8,"Main lift top set only; −1 set on every accessory; RPE cap 7","Train as planned")))</f>
        <v/>
      </c>
      <c r="H43" s="20"/>
      <c r="I43" s="20"/>
      <c r="J43" s="54"/>
      <c r="K43" s="12" t="str">
        <f aca="false">IF(I43="","",IF(I43&gt;=5,"Drop that pattern this week",IF(I43&gt;=3,"Swap that exercise","OK")))</f>
        <v/>
      </c>
      <c r="L43" s="20"/>
    </row>
    <row r="44" customFormat="false" ht="15" hidden="false" customHeight="false" outlineLevel="0" collapsed="false">
      <c r="A44" s="51"/>
      <c r="B44" s="11" t="str">
        <f aca="false">IF(A44="","",INT((A44-'Start here'!$C$5)/7)+1)</f>
        <v/>
      </c>
      <c r="C44" s="20"/>
      <c r="D44" s="20"/>
      <c r="E44" s="20"/>
      <c r="F44" s="11" t="str">
        <f aca="false">IF(COUNT(C44:E44)&lt;3,"",SUM(C44:E44))</f>
        <v/>
      </c>
      <c r="G44" s="12" t="str">
        <f aca="false">IF(F44="","",IF(F44&lt;=6,"Technique and mobility only",IF(F44&lt;=8,"Main lift top set only; −1 set on every accessory; RPE cap 7","Train as planned")))</f>
        <v/>
      </c>
      <c r="H44" s="20"/>
      <c r="I44" s="20"/>
      <c r="J44" s="54"/>
      <c r="K44" s="12" t="str">
        <f aca="false">IF(I44="","",IF(I44&gt;=5,"Drop that pattern this week",IF(I44&gt;=3,"Swap that exercise","OK")))</f>
        <v/>
      </c>
      <c r="L44" s="20"/>
    </row>
    <row r="45" customFormat="false" ht="15" hidden="false" customHeight="false" outlineLevel="0" collapsed="false">
      <c r="A45" s="51"/>
      <c r="B45" s="11" t="str">
        <f aca="false">IF(A45="","",INT((A45-'Start here'!$C$5)/7)+1)</f>
        <v/>
      </c>
      <c r="C45" s="20"/>
      <c r="D45" s="20"/>
      <c r="E45" s="20"/>
      <c r="F45" s="11" t="str">
        <f aca="false">IF(COUNT(C45:E45)&lt;3,"",SUM(C45:E45))</f>
        <v/>
      </c>
      <c r="G45" s="12" t="str">
        <f aca="false">IF(F45="","",IF(F45&lt;=6,"Technique and mobility only",IF(F45&lt;=8,"Main lift top set only; −1 set on every accessory; RPE cap 7","Train as planned")))</f>
        <v/>
      </c>
      <c r="H45" s="20"/>
      <c r="I45" s="20"/>
      <c r="J45" s="54"/>
      <c r="K45" s="12" t="str">
        <f aca="false">IF(I45="","",IF(I45&gt;=5,"Drop that pattern this week",IF(I45&gt;=3,"Swap that exercise","OK")))</f>
        <v/>
      </c>
      <c r="L45" s="20"/>
    </row>
    <row r="46" customFormat="false" ht="15" hidden="false" customHeight="false" outlineLevel="0" collapsed="false">
      <c r="A46" s="51"/>
      <c r="B46" s="11" t="str">
        <f aca="false">IF(A46="","",INT((A46-'Start here'!$C$5)/7)+1)</f>
        <v/>
      </c>
      <c r="C46" s="20"/>
      <c r="D46" s="20"/>
      <c r="E46" s="20"/>
      <c r="F46" s="11" t="str">
        <f aca="false">IF(COUNT(C46:E46)&lt;3,"",SUM(C46:E46))</f>
        <v/>
      </c>
      <c r="G46" s="12" t="str">
        <f aca="false">IF(F46="","",IF(F46&lt;=6,"Technique and mobility only",IF(F46&lt;=8,"Main lift top set only; −1 set on every accessory; RPE cap 7","Train as planned")))</f>
        <v/>
      </c>
      <c r="H46" s="20"/>
      <c r="I46" s="20"/>
      <c r="J46" s="54"/>
      <c r="K46" s="12" t="str">
        <f aca="false">IF(I46="","",IF(I46&gt;=5,"Drop that pattern this week",IF(I46&gt;=3,"Swap that exercise","OK")))</f>
        <v/>
      </c>
      <c r="L46" s="20"/>
    </row>
    <row r="47" customFormat="false" ht="15" hidden="false" customHeight="false" outlineLevel="0" collapsed="false">
      <c r="A47" s="51"/>
      <c r="B47" s="11" t="str">
        <f aca="false">IF(A47="","",INT((A47-'Start here'!$C$5)/7)+1)</f>
        <v/>
      </c>
      <c r="C47" s="20"/>
      <c r="D47" s="20"/>
      <c r="E47" s="20"/>
      <c r="F47" s="11" t="str">
        <f aca="false">IF(COUNT(C47:E47)&lt;3,"",SUM(C47:E47))</f>
        <v/>
      </c>
      <c r="G47" s="12" t="str">
        <f aca="false">IF(F47="","",IF(F47&lt;=6,"Technique and mobility only",IF(F47&lt;=8,"Main lift top set only; −1 set on every accessory; RPE cap 7","Train as planned")))</f>
        <v/>
      </c>
      <c r="H47" s="20"/>
      <c r="I47" s="20"/>
      <c r="J47" s="54"/>
      <c r="K47" s="12" t="str">
        <f aca="false">IF(I47="","",IF(I47&gt;=5,"Drop that pattern this week",IF(I47&gt;=3,"Swap that exercise","OK")))</f>
        <v/>
      </c>
      <c r="L47" s="20"/>
    </row>
    <row r="48" customFormat="false" ht="15" hidden="false" customHeight="false" outlineLevel="0" collapsed="false">
      <c r="A48" s="51"/>
      <c r="B48" s="11" t="str">
        <f aca="false">IF(A48="","",INT((A48-'Start here'!$C$5)/7)+1)</f>
        <v/>
      </c>
      <c r="C48" s="20"/>
      <c r="D48" s="20"/>
      <c r="E48" s="20"/>
      <c r="F48" s="11" t="str">
        <f aca="false">IF(COUNT(C48:E48)&lt;3,"",SUM(C48:E48))</f>
        <v/>
      </c>
      <c r="G48" s="12" t="str">
        <f aca="false">IF(F48="","",IF(F48&lt;=6,"Technique and mobility only",IF(F48&lt;=8,"Main lift top set only; −1 set on every accessory; RPE cap 7","Train as planned")))</f>
        <v/>
      </c>
      <c r="H48" s="20"/>
      <c r="I48" s="20"/>
      <c r="J48" s="54"/>
      <c r="K48" s="12" t="str">
        <f aca="false">IF(I48="","",IF(I48&gt;=5,"Drop that pattern this week",IF(I48&gt;=3,"Swap that exercise","OK")))</f>
        <v/>
      </c>
      <c r="L48" s="20"/>
    </row>
    <row r="49" customFormat="false" ht="15" hidden="false" customHeight="false" outlineLevel="0" collapsed="false">
      <c r="A49" s="51"/>
      <c r="B49" s="11" t="str">
        <f aca="false">IF(A49="","",INT((A49-'Start here'!$C$5)/7)+1)</f>
        <v/>
      </c>
      <c r="C49" s="20"/>
      <c r="D49" s="20"/>
      <c r="E49" s="20"/>
      <c r="F49" s="11" t="str">
        <f aca="false">IF(COUNT(C49:E49)&lt;3,"",SUM(C49:E49))</f>
        <v/>
      </c>
      <c r="G49" s="12" t="str">
        <f aca="false">IF(F49="","",IF(F49&lt;=6,"Technique and mobility only",IF(F49&lt;=8,"Main lift top set only; −1 set on every accessory; RPE cap 7","Train as planned")))</f>
        <v/>
      </c>
      <c r="H49" s="20"/>
      <c r="I49" s="20"/>
      <c r="J49" s="54"/>
      <c r="K49" s="12" t="str">
        <f aca="false">IF(I49="","",IF(I49&gt;=5,"Drop that pattern this week",IF(I49&gt;=3,"Swap that exercise","OK")))</f>
        <v/>
      </c>
      <c r="L49" s="20"/>
    </row>
    <row r="50" customFormat="false" ht="15" hidden="false" customHeight="false" outlineLevel="0" collapsed="false">
      <c r="A50" s="51"/>
      <c r="B50" s="11" t="str">
        <f aca="false">IF(A50="","",INT((A50-'Start here'!$C$5)/7)+1)</f>
        <v/>
      </c>
      <c r="C50" s="20"/>
      <c r="D50" s="20"/>
      <c r="E50" s="20"/>
      <c r="F50" s="11" t="str">
        <f aca="false">IF(COUNT(C50:E50)&lt;3,"",SUM(C50:E50))</f>
        <v/>
      </c>
      <c r="G50" s="12" t="str">
        <f aca="false">IF(F50="","",IF(F50&lt;=6,"Technique and mobility only",IF(F50&lt;=8,"Main lift top set only; −1 set on every accessory; RPE cap 7","Train as planned")))</f>
        <v/>
      </c>
      <c r="H50" s="20"/>
      <c r="I50" s="20"/>
      <c r="J50" s="54"/>
      <c r="K50" s="12" t="str">
        <f aca="false">IF(I50="","",IF(I50&gt;=5,"Drop that pattern this week",IF(I50&gt;=3,"Swap that exercise","OK")))</f>
        <v/>
      </c>
      <c r="L50" s="20"/>
    </row>
    <row r="51" customFormat="false" ht="15" hidden="false" customHeight="false" outlineLevel="0" collapsed="false">
      <c r="A51" s="51"/>
      <c r="B51" s="11" t="str">
        <f aca="false">IF(A51="","",INT((A51-'Start here'!$C$5)/7)+1)</f>
        <v/>
      </c>
      <c r="C51" s="20"/>
      <c r="D51" s="20"/>
      <c r="E51" s="20"/>
      <c r="F51" s="11" t="str">
        <f aca="false">IF(COUNT(C51:E51)&lt;3,"",SUM(C51:E51))</f>
        <v/>
      </c>
      <c r="G51" s="12" t="str">
        <f aca="false">IF(F51="","",IF(F51&lt;=6,"Technique and mobility only",IF(F51&lt;=8,"Main lift top set only; −1 set on every accessory; RPE cap 7","Train as planned")))</f>
        <v/>
      </c>
      <c r="H51" s="20"/>
      <c r="I51" s="20"/>
      <c r="J51" s="54"/>
      <c r="K51" s="12" t="str">
        <f aca="false">IF(I51="","",IF(I51&gt;=5,"Drop that pattern this week",IF(I51&gt;=3,"Swap that exercise","OK")))</f>
        <v/>
      </c>
      <c r="L51" s="20"/>
    </row>
    <row r="52" customFormat="false" ht="15" hidden="false" customHeight="false" outlineLevel="0" collapsed="false">
      <c r="A52" s="51"/>
      <c r="B52" s="11" t="str">
        <f aca="false">IF(A52="","",INT((A52-'Start here'!$C$5)/7)+1)</f>
        <v/>
      </c>
      <c r="C52" s="20"/>
      <c r="D52" s="20"/>
      <c r="E52" s="20"/>
      <c r="F52" s="11" t="str">
        <f aca="false">IF(COUNT(C52:E52)&lt;3,"",SUM(C52:E52))</f>
        <v/>
      </c>
      <c r="G52" s="12" t="str">
        <f aca="false">IF(F52="","",IF(F52&lt;=6,"Technique and mobility only",IF(F52&lt;=8,"Main lift top set only; −1 set on every accessory; RPE cap 7","Train as planned")))</f>
        <v/>
      </c>
      <c r="H52" s="20"/>
      <c r="I52" s="20"/>
      <c r="J52" s="54"/>
      <c r="K52" s="12" t="str">
        <f aca="false">IF(I52="","",IF(I52&gt;=5,"Drop that pattern this week",IF(I52&gt;=3,"Swap that exercise","OK")))</f>
        <v/>
      </c>
      <c r="L52" s="20"/>
    </row>
    <row r="53" customFormat="false" ht="15" hidden="false" customHeight="false" outlineLevel="0" collapsed="false">
      <c r="A53" s="51"/>
      <c r="B53" s="11" t="str">
        <f aca="false">IF(A53="","",INT((A53-'Start here'!$C$5)/7)+1)</f>
        <v/>
      </c>
      <c r="C53" s="20"/>
      <c r="D53" s="20"/>
      <c r="E53" s="20"/>
      <c r="F53" s="11" t="str">
        <f aca="false">IF(COUNT(C53:E53)&lt;3,"",SUM(C53:E53))</f>
        <v/>
      </c>
      <c r="G53" s="12" t="str">
        <f aca="false">IF(F53="","",IF(F53&lt;=6,"Technique and mobility only",IF(F53&lt;=8,"Main lift top set only; −1 set on every accessory; RPE cap 7","Train as planned")))</f>
        <v/>
      </c>
      <c r="H53" s="20"/>
      <c r="I53" s="20"/>
      <c r="J53" s="54"/>
      <c r="K53" s="12" t="str">
        <f aca="false">IF(I53="","",IF(I53&gt;=5,"Drop that pattern this week",IF(I53&gt;=3,"Swap that exercise","OK")))</f>
        <v/>
      </c>
      <c r="L53" s="20"/>
    </row>
    <row r="54" customFormat="false" ht="15" hidden="false" customHeight="false" outlineLevel="0" collapsed="false">
      <c r="A54" s="51"/>
      <c r="B54" s="11" t="str">
        <f aca="false">IF(A54="","",INT((A54-'Start here'!$C$5)/7)+1)</f>
        <v/>
      </c>
      <c r="C54" s="20"/>
      <c r="D54" s="20"/>
      <c r="E54" s="20"/>
      <c r="F54" s="11" t="str">
        <f aca="false">IF(COUNT(C54:E54)&lt;3,"",SUM(C54:E54))</f>
        <v/>
      </c>
      <c r="G54" s="12" t="str">
        <f aca="false">IF(F54="","",IF(F54&lt;=6,"Technique and mobility only",IF(F54&lt;=8,"Main lift top set only; −1 set on every accessory; RPE cap 7","Train as planned")))</f>
        <v/>
      </c>
      <c r="H54" s="20"/>
      <c r="I54" s="20"/>
      <c r="J54" s="54"/>
      <c r="K54" s="12" t="str">
        <f aca="false">IF(I54="","",IF(I54&gt;=5,"Drop that pattern this week",IF(I54&gt;=3,"Swap that exercise","OK")))</f>
        <v/>
      </c>
      <c r="L54" s="20"/>
    </row>
    <row r="55" customFormat="false" ht="15" hidden="false" customHeight="false" outlineLevel="0" collapsed="false">
      <c r="A55" s="51"/>
      <c r="B55" s="11" t="str">
        <f aca="false">IF(A55="","",INT((A55-'Start here'!$C$5)/7)+1)</f>
        <v/>
      </c>
      <c r="C55" s="20"/>
      <c r="D55" s="20"/>
      <c r="E55" s="20"/>
      <c r="F55" s="11" t="str">
        <f aca="false">IF(COUNT(C55:E55)&lt;3,"",SUM(C55:E55))</f>
        <v/>
      </c>
      <c r="G55" s="12" t="str">
        <f aca="false">IF(F55="","",IF(F55&lt;=6,"Technique and mobility only",IF(F55&lt;=8,"Main lift top set only; −1 set on every accessory; RPE cap 7","Train as planned")))</f>
        <v/>
      </c>
      <c r="H55" s="20"/>
      <c r="I55" s="20"/>
      <c r="J55" s="54"/>
      <c r="K55" s="12" t="str">
        <f aca="false">IF(I55="","",IF(I55&gt;=5,"Drop that pattern this week",IF(I55&gt;=3,"Swap that exercise","OK")))</f>
        <v/>
      </c>
      <c r="L55" s="20"/>
    </row>
    <row r="56" customFormat="false" ht="15" hidden="false" customHeight="false" outlineLevel="0" collapsed="false">
      <c r="A56" s="51"/>
      <c r="B56" s="11" t="str">
        <f aca="false">IF(A56="","",INT((A56-'Start here'!$C$5)/7)+1)</f>
        <v/>
      </c>
      <c r="C56" s="20"/>
      <c r="D56" s="20"/>
      <c r="E56" s="20"/>
      <c r="F56" s="11" t="str">
        <f aca="false">IF(COUNT(C56:E56)&lt;3,"",SUM(C56:E56))</f>
        <v/>
      </c>
      <c r="G56" s="12" t="str">
        <f aca="false">IF(F56="","",IF(F56&lt;=6,"Technique and mobility only",IF(F56&lt;=8,"Main lift top set only; −1 set on every accessory; RPE cap 7","Train as planned")))</f>
        <v/>
      </c>
      <c r="H56" s="20"/>
      <c r="I56" s="20"/>
      <c r="J56" s="54"/>
      <c r="K56" s="12" t="str">
        <f aca="false">IF(I56="","",IF(I56&gt;=5,"Drop that pattern this week",IF(I56&gt;=3,"Swap that exercise","OK")))</f>
        <v/>
      </c>
      <c r="L56" s="20"/>
    </row>
    <row r="57" customFormat="false" ht="15" hidden="false" customHeight="false" outlineLevel="0" collapsed="false">
      <c r="A57" s="51"/>
      <c r="B57" s="11" t="str">
        <f aca="false">IF(A57="","",INT((A57-'Start here'!$C$5)/7)+1)</f>
        <v/>
      </c>
      <c r="C57" s="20"/>
      <c r="D57" s="20"/>
      <c r="E57" s="20"/>
      <c r="F57" s="11" t="str">
        <f aca="false">IF(COUNT(C57:E57)&lt;3,"",SUM(C57:E57))</f>
        <v/>
      </c>
      <c r="G57" s="12" t="str">
        <f aca="false">IF(F57="","",IF(F57&lt;=6,"Technique and mobility only",IF(F57&lt;=8,"Main lift top set only; −1 set on every accessory; RPE cap 7","Train as planned")))</f>
        <v/>
      </c>
      <c r="H57" s="20"/>
      <c r="I57" s="20"/>
      <c r="J57" s="54"/>
      <c r="K57" s="12" t="str">
        <f aca="false">IF(I57="","",IF(I57&gt;=5,"Drop that pattern this week",IF(I57&gt;=3,"Swap that exercise","OK")))</f>
        <v/>
      </c>
      <c r="L57" s="20"/>
    </row>
    <row r="58" customFormat="false" ht="15" hidden="false" customHeight="false" outlineLevel="0" collapsed="false">
      <c r="A58" s="51"/>
      <c r="B58" s="11" t="str">
        <f aca="false">IF(A58="","",INT((A58-'Start here'!$C$5)/7)+1)</f>
        <v/>
      </c>
      <c r="C58" s="20"/>
      <c r="D58" s="20"/>
      <c r="E58" s="20"/>
      <c r="F58" s="11" t="str">
        <f aca="false">IF(COUNT(C58:E58)&lt;3,"",SUM(C58:E58))</f>
        <v/>
      </c>
      <c r="G58" s="12" t="str">
        <f aca="false">IF(F58="","",IF(F58&lt;=6,"Technique and mobility only",IF(F58&lt;=8,"Main lift top set only; −1 set on every accessory; RPE cap 7","Train as planned")))</f>
        <v/>
      </c>
      <c r="H58" s="20"/>
      <c r="I58" s="20"/>
      <c r="J58" s="54"/>
      <c r="K58" s="12" t="str">
        <f aca="false">IF(I58="","",IF(I58&gt;=5,"Drop that pattern this week",IF(I58&gt;=3,"Swap that exercise","OK")))</f>
        <v/>
      </c>
      <c r="L58" s="20"/>
    </row>
    <row r="59" customFormat="false" ht="15" hidden="false" customHeight="false" outlineLevel="0" collapsed="false">
      <c r="A59" s="51"/>
      <c r="B59" s="11" t="str">
        <f aca="false">IF(A59="","",INT((A59-'Start here'!$C$5)/7)+1)</f>
        <v/>
      </c>
      <c r="C59" s="20"/>
      <c r="D59" s="20"/>
      <c r="E59" s="20"/>
      <c r="F59" s="11" t="str">
        <f aca="false">IF(COUNT(C59:E59)&lt;3,"",SUM(C59:E59))</f>
        <v/>
      </c>
      <c r="G59" s="12" t="str">
        <f aca="false">IF(F59="","",IF(F59&lt;=6,"Technique and mobility only",IF(F59&lt;=8,"Main lift top set only; −1 set on every accessory; RPE cap 7","Train as planned")))</f>
        <v/>
      </c>
      <c r="H59" s="20"/>
      <c r="I59" s="20"/>
      <c r="J59" s="54"/>
      <c r="K59" s="12" t="str">
        <f aca="false">IF(I59="","",IF(I59&gt;=5,"Drop that pattern this week",IF(I59&gt;=3,"Swap that exercise","OK")))</f>
        <v/>
      </c>
      <c r="L59" s="20"/>
    </row>
    <row r="60" customFormat="false" ht="15" hidden="false" customHeight="false" outlineLevel="0" collapsed="false">
      <c r="A60" s="51"/>
      <c r="B60" s="11" t="str">
        <f aca="false">IF(A60="","",INT((A60-'Start here'!$C$5)/7)+1)</f>
        <v/>
      </c>
      <c r="C60" s="20"/>
      <c r="D60" s="20"/>
      <c r="E60" s="20"/>
      <c r="F60" s="11" t="str">
        <f aca="false">IF(COUNT(C60:E60)&lt;3,"",SUM(C60:E60))</f>
        <v/>
      </c>
      <c r="G60" s="12" t="str">
        <f aca="false">IF(F60="","",IF(F60&lt;=6,"Technique and mobility only",IF(F60&lt;=8,"Main lift top set only; −1 set on every accessory; RPE cap 7","Train as planned")))</f>
        <v/>
      </c>
      <c r="H60" s="20"/>
      <c r="I60" s="20"/>
      <c r="J60" s="54"/>
      <c r="K60" s="12" t="str">
        <f aca="false">IF(I60="","",IF(I60&gt;=5,"Drop that pattern this week",IF(I60&gt;=3,"Swap that exercise","OK")))</f>
        <v/>
      </c>
      <c r="L60" s="20"/>
    </row>
    <row r="61" customFormat="false" ht="15" hidden="false" customHeight="false" outlineLevel="0" collapsed="false">
      <c r="A61" s="51"/>
      <c r="B61" s="11" t="str">
        <f aca="false">IF(A61="","",INT((A61-'Start here'!$C$5)/7)+1)</f>
        <v/>
      </c>
      <c r="C61" s="20"/>
      <c r="D61" s="20"/>
      <c r="E61" s="20"/>
      <c r="F61" s="11" t="str">
        <f aca="false">IF(COUNT(C61:E61)&lt;3,"",SUM(C61:E61))</f>
        <v/>
      </c>
      <c r="G61" s="12" t="str">
        <f aca="false">IF(F61="","",IF(F61&lt;=6,"Technique and mobility only",IF(F61&lt;=8,"Main lift top set only; −1 set on every accessory; RPE cap 7","Train as planned")))</f>
        <v/>
      </c>
      <c r="H61" s="20"/>
      <c r="I61" s="20"/>
      <c r="J61" s="54"/>
      <c r="K61" s="12" t="str">
        <f aca="false">IF(I61="","",IF(I61&gt;=5,"Drop that pattern this week",IF(I61&gt;=3,"Swap that exercise","OK")))</f>
        <v/>
      </c>
      <c r="L61" s="20"/>
    </row>
    <row r="62" customFormat="false" ht="15" hidden="false" customHeight="false" outlineLevel="0" collapsed="false">
      <c r="A62" s="51"/>
      <c r="B62" s="11" t="str">
        <f aca="false">IF(A62="","",INT((A62-'Start here'!$C$5)/7)+1)</f>
        <v/>
      </c>
      <c r="C62" s="20"/>
      <c r="D62" s="20"/>
      <c r="E62" s="20"/>
      <c r="F62" s="11" t="str">
        <f aca="false">IF(COUNT(C62:E62)&lt;3,"",SUM(C62:E62))</f>
        <v/>
      </c>
      <c r="G62" s="12" t="str">
        <f aca="false">IF(F62="","",IF(F62&lt;=6,"Technique and mobility only",IF(F62&lt;=8,"Main lift top set only; −1 set on every accessory; RPE cap 7","Train as planned")))</f>
        <v/>
      </c>
      <c r="H62" s="20"/>
      <c r="I62" s="20"/>
      <c r="J62" s="54"/>
      <c r="K62" s="12" t="str">
        <f aca="false">IF(I62="","",IF(I62&gt;=5,"Drop that pattern this week",IF(I62&gt;=3,"Swap that exercise","OK")))</f>
        <v/>
      </c>
      <c r="L62" s="20"/>
    </row>
    <row r="63" customFormat="false" ht="15" hidden="false" customHeight="false" outlineLevel="0" collapsed="false">
      <c r="A63" s="51"/>
      <c r="B63" s="11" t="str">
        <f aca="false">IF(A63="","",INT((A63-'Start here'!$C$5)/7)+1)</f>
        <v/>
      </c>
      <c r="C63" s="20"/>
      <c r="D63" s="20"/>
      <c r="E63" s="20"/>
      <c r="F63" s="11" t="str">
        <f aca="false">IF(COUNT(C63:E63)&lt;3,"",SUM(C63:E63))</f>
        <v/>
      </c>
      <c r="G63" s="12" t="str">
        <f aca="false">IF(F63="","",IF(F63&lt;=6,"Technique and mobility only",IF(F63&lt;=8,"Main lift top set only; −1 set on every accessory; RPE cap 7","Train as planned")))</f>
        <v/>
      </c>
      <c r="H63" s="20"/>
      <c r="I63" s="20"/>
      <c r="J63" s="54"/>
      <c r="K63" s="12" t="str">
        <f aca="false">IF(I63="","",IF(I63&gt;=5,"Drop that pattern this week",IF(I63&gt;=3,"Swap that exercise","OK")))</f>
        <v/>
      </c>
      <c r="L63" s="20"/>
    </row>
    <row r="64" customFormat="false" ht="15" hidden="false" customHeight="false" outlineLevel="0" collapsed="false">
      <c r="A64" s="51"/>
      <c r="B64" s="11" t="str">
        <f aca="false">IF(A64="","",INT((A64-'Start here'!$C$5)/7)+1)</f>
        <v/>
      </c>
      <c r="C64" s="20"/>
      <c r="D64" s="20"/>
      <c r="E64" s="20"/>
      <c r="F64" s="11" t="str">
        <f aca="false">IF(COUNT(C64:E64)&lt;3,"",SUM(C64:E64))</f>
        <v/>
      </c>
      <c r="G64" s="12" t="str">
        <f aca="false">IF(F64="","",IF(F64&lt;=6,"Technique and mobility only",IF(F64&lt;=8,"Main lift top set only; −1 set on every accessory; RPE cap 7","Train as planned")))</f>
        <v/>
      </c>
      <c r="H64" s="20"/>
      <c r="I64" s="20"/>
      <c r="J64" s="54"/>
      <c r="K64" s="12" t="str">
        <f aca="false">IF(I64="","",IF(I64&gt;=5,"Drop that pattern this week",IF(I64&gt;=3,"Swap that exercise","OK")))</f>
        <v/>
      </c>
      <c r="L64" s="20"/>
    </row>
    <row r="65" customFormat="false" ht="15" hidden="false" customHeight="false" outlineLevel="0" collapsed="false">
      <c r="A65" s="51"/>
      <c r="B65" s="11" t="str">
        <f aca="false">IF(A65="","",INT((A65-'Start here'!$C$5)/7)+1)</f>
        <v/>
      </c>
      <c r="C65" s="20"/>
      <c r="D65" s="20"/>
      <c r="E65" s="20"/>
      <c r="F65" s="11" t="str">
        <f aca="false">IF(COUNT(C65:E65)&lt;3,"",SUM(C65:E65))</f>
        <v/>
      </c>
      <c r="G65" s="12" t="str">
        <f aca="false">IF(F65="","",IF(F65&lt;=6,"Technique and mobility only",IF(F65&lt;=8,"Main lift top set only; −1 set on every accessory; RPE cap 7","Train as planned")))</f>
        <v/>
      </c>
      <c r="H65" s="20"/>
      <c r="I65" s="20"/>
      <c r="J65" s="54"/>
      <c r="K65" s="12" t="str">
        <f aca="false">IF(I65="","",IF(I65&gt;=5,"Drop that pattern this week",IF(I65&gt;=3,"Swap that exercise","OK")))</f>
        <v/>
      </c>
      <c r="L65" s="20"/>
    </row>
    <row r="66" customFormat="false" ht="15" hidden="false" customHeight="false" outlineLevel="0" collapsed="false">
      <c r="A66" s="51"/>
      <c r="B66" s="11" t="str">
        <f aca="false">IF(A66="","",INT((A66-'Start here'!$C$5)/7)+1)</f>
        <v/>
      </c>
      <c r="C66" s="20"/>
      <c r="D66" s="20"/>
      <c r="E66" s="20"/>
      <c r="F66" s="11" t="str">
        <f aca="false">IF(COUNT(C66:E66)&lt;3,"",SUM(C66:E66))</f>
        <v/>
      </c>
      <c r="G66" s="12" t="str">
        <f aca="false">IF(F66="","",IF(F66&lt;=6,"Technique and mobility only",IF(F66&lt;=8,"Main lift top set only; −1 set on every accessory; RPE cap 7","Train as planned")))</f>
        <v/>
      </c>
      <c r="H66" s="20"/>
      <c r="I66" s="20"/>
      <c r="J66" s="54"/>
      <c r="K66" s="12" t="str">
        <f aca="false">IF(I66="","",IF(I66&gt;=5,"Drop that pattern this week",IF(I66&gt;=3,"Swap that exercise","OK")))</f>
        <v/>
      </c>
      <c r="L66" s="20"/>
    </row>
    <row r="67" customFormat="false" ht="15" hidden="false" customHeight="false" outlineLevel="0" collapsed="false">
      <c r="A67" s="51"/>
      <c r="B67" s="11" t="str">
        <f aca="false">IF(A67="","",INT((A67-'Start here'!$C$5)/7)+1)</f>
        <v/>
      </c>
      <c r="C67" s="20"/>
      <c r="D67" s="20"/>
      <c r="E67" s="20"/>
      <c r="F67" s="11" t="str">
        <f aca="false">IF(COUNT(C67:E67)&lt;3,"",SUM(C67:E67))</f>
        <v/>
      </c>
      <c r="G67" s="12" t="str">
        <f aca="false">IF(F67="","",IF(F67&lt;=6,"Technique and mobility only",IF(F67&lt;=8,"Main lift top set only; −1 set on every accessory; RPE cap 7","Train as planned")))</f>
        <v/>
      </c>
      <c r="H67" s="20"/>
      <c r="I67" s="20"/>
      <c r="J67" s="54"/>
      <c r="K67" s="12" t="str">
        <f aca="false">IF(I67="","",IF(I67&gt;=5,"Drop that pattern this week",IF(I67&gt;=3,"Swap that exercise","OK")))</f>
        <v/>
      </c>
      <c r="L67" s="20"/>
    </row>
    <row r="68" customFormat="false" ht="15" hidden="false" customHeight="false" outlineLevel="0" collapsed="false">
      <c r="A68" s="51"/>
      <c r="B68" s="11" t="str">
        <f aca="false">IF(A68="","",INT((A68-'Start here'!$C$5)/7)+1)</f>
        <v/>
      </c>
      <c r="C68" s="20"/>
      <c r="D68" s="20"/>
      <c r="E68" s="20"/>
      <c r="F68" s="11" t="str">
        <f aca="false">IF(COUNT(C68:E68)&lt;3,"",SUM(C68:E68))</f>
        <v/>
      </c>
      <c r="G68" s="12" t="str">
        <f aca="false">IF(F68="","",IF(F68&lt;=6,"Technique and mobility only",IF(F68&lt;=8,"Main lift top set only; −1 set on every accessory; RPE cap 7","Train as planned")))</f>
        <v/>
      </c>
      <c r="H68" s="20"/>
      <c r="I68" s="20"/>
      <c r="J68" s="54"/>
      <c r="K68" s="12" t="str">
        <f aca="false">IF(I68="","",IF(I68&gt;=5,"Drop that pattern this week",IF(I68&gt;=3,"Swap that exercise","OK")))</f>
        <v/>
      </c>
      <c r="L68" s="20"/>
    </row>
    <row r="69" customFormat="false" ht="15" hidden="false" customHeight="false" outlineLevel="0" collapsed="false">
      <c r="A69" s="51"/>
      <c r="B69" s="11" t="str">
        <f aca="false">IF(A69="","",INT((A69-'Start here'!$C$5)/7)+1)</f>
        <v/>
      </c>
      <c r="C69" s="20"/>
      <c r="D69" s="20"/>
      <c r="E69" s="20"/>
      <c r="F69" s="11" t="str">
        <f aca="false">IF(COUNT(C69:E69)&lt;3,"",SUM(C69:E69))</f>
        <v/>
      </c>
      <c r="G69" s="12" t="str">
        <f aca="false">IF(F69="","",IF(F69&lt;=6,"Technique and mobility only",IF(F69&lt;=8,"Main lift top set only; −1 set on every accessory; RPE cap 7","Train as planned")))</f>
        <v/>
      </c>
      <c r="H69" s="20"/>
      <c r="I69" s="20"/>
      <c r="J69" s="54"/>
      <c r="K69" s="12" t="str">
        <f aca="false">IF(I69="","",IF(I69&gt;=5,"Drop that pattern this week",IF(I69&gt;=3,"Swap that exercise","OK")))</f>
        <v/>
      </c>
      <c r="L69" s="20"/>
    </row>
    <row r="70" customFormat="false" ht="15" hidden="false" customHeight="false" outlineLevel="0" collapsed="false">
      <c r="A70" s="51"/>
      <c r="B70" s="11" t="str">
        <f aca="false">IF(A70="","",INT((A70-'Start here'!$C$5)/7)+1)</f>
        <v/>
      </c>
      <c r="C70" s="20"/>
      <c r="D70" s="20"/>
      <c r="E70" s="20"/>
      <c r="F70" s="11" t="str">
        <f aca="false">IF(COUNT(C70:E70)&lt;3,"",SUM(C70:E70))</f>
        <v/>
      </c>
      <c r="G70" s="12" t="str">
        <f aca="false">IF(F70="","",IF(F70&lt;=6,"Technique and mobility only",IF(F70&lt;=8,"Main lift top set only; −1 set on every accessory; RPE cap 7","Train as planned")))</f>
        <v/>
      </c>
      <c r="H70" s="20"/>
      <c r="I70" s="20"/>
      <c r="J70" s="54"/>
      <c r="K70" s="12" t="str">
        <f aca="false">IF(I70="","",IF(I70&gt;=5,"Drop that pattern this week",IF(I70&gt;=3,"Swap that exercise","OK")))</f>
        <v/>
      </c>
      <c r="L70" s="20"/>
    </row>
    <row r="71" customFormat="false" ht="15" hidden="false" customHeight="false" outlineLevel="0" collapsed="false">
      <c r="A71" s="51"/>
      <c r="B71" s="11" t="str">
        <f aca="false">IF(A71="","",INT((A71-'Start here'!$C$5)/7)+1)</f>
        <v/>
      </c>
      <c r="C71" s="20"/>
      <c r="D71" s="20"/>
      <c r="E71" s="20"/>
      <c r="F71" s="11" t="str">
        <f aca="false">IF(COUNT(C71:E71)&lt;3,"",SUM(C71:E71))</f>
        <v/>
      </c>
      <c r="G71" s="12" t="str">
        <f aca="false">IF(F71="","",IF(F71&lt;=6,"Technique and mobility only",IF(F71&lt;=8,"Main lift top set only; −1 set on every accessory; RPE cap 7","Train as planned")))</f>
        <v/>
      </c>
      <c r="H71" s="20"/>
      <c r="I71" s="20"/>
      <c r="J71" s="54"/>
      <c r="K71" s="12" t="str">
        <f aca="false">IF(I71="","",IF(I71&gt;=5,"Drop that pattern this week",IF(I71&gt;=3,"Swap that exercise","OK")))</f>
        <v/>
      </c>
      <c r="L71" s="20"/>
    </row>
    <row r="72" customFormat="false" ht="15" hidden="false" customHeight="false" outlineLevel="0" collapsed="false">
      <c r="A72" s="51"/>
      <c r="B72" s="11" t="str">
        <f aca="false">IF(A72="","",INT((A72-'Start here'!$C$5)/7)+1)</f>
        <v/>
      </c>
      <c r="C72" s="20"/>
      <c r="D72" s="20"/>
      <c r="E72" s="20"/>
      <c r="F72" s="11" t="str">
        <f aca="false">IF(COUNT(C72:E72)&lt;3,"",SUM(C72:E72))</f>
        <v/>
      </c>
      <c r="G72" s="12" t="str">
        <f aca="false">IF(F72="","",IF(F72&lt;=6,"Technique and mobility only",IF(F72&lt;=8,"Main lift top set only; −1 set on every accessory; RPE cap 7","Train as planned")))</f>
        <v/>
      </c>
      <c r="H72" s="20"/>
      <c r="I72" s="20"/>
      <c r="J72" s="54"/>
      <c r="K72" s="12" t="str">
        <f aca="false">IF(I72="","",IF(I72&gt;=5,"Drop that pattern this week",IF(I72&gt;=3,"Swap that exercise","OK")))</f>
        <v/>
      </c>
      <c r="L72" s="20"/>
    </row>
    <row r="73" customFormat="false" ht="15" hidden="false" customHeight="false" outlineLevel="0" collapsed="false">
      <c r="A73" s="51"/>
      <c r="B73" s="11" t="str">
        <f aca="false">IF(A73="","",INT((A73-'Start here'!$C$5)/7)+1)</f>
        <v/>
      </c>
      <c r="C73" s="20"/>
      <c r="D73" s="20"/>
      <c r="E73" s="20"/>
      <c r="F73" s="11" t="str">
        <f aca="false">IF(COUNT(C73:E73)&lt;3,"",SUM(C73:E73))</f>
        <v/>
      </c>
      <c r="G73" s="12" t="str">
        <f aca="false">IF(F73="","",IF(F73&lt;=6,"Technique and mobility only",IF(F73&lt;=8,"Main lift top set only; −1 set on every accessory; RPE cap 7","Train as planned")))</f>
        <v/>
      </c>
      <c r="H73" s="20"/>
      <c r="I73" s="20"/>
      <c r="J73" s="54"/>
      <c r="K73" s="12" t="str">
        <f aca="false">IF(I73="","",IF(I73&gt;=5,"Drop that pattern this week",IF(I73&gt;=3,"Swap that exercise","OK")))</f>
        <v/>
      </c>
      <c r="L73" s="20"/>
    </row>
    <row r="74" customFormat="false" ht="15" hidden="false" customHeight="false" outlineLevel="0" collapsed="false">
      <c r="A74" s="51"/>
      <c r="B74" s="11" t="str">
        <f aca="false">IF(A74="","",INT((A74-'Start here'!$C$5)/7)+1)</f>
        <v/>
      </c>
      <c r="C74" s="20"/>
      <c r="D74" s="20"/>
      <c r="E74" s="20"/>
      <c r="F74" s="11" t="str">
        <f aca="false">IF(COUNT(C74:E74)&lt;3,"",SUM(C74:E74))</f>
        <v/>
      </c>
      <c r="G74" s="12" t="str">
        <f aca="false">IF(F74="","",IF(F74&lt;=6,"Technique and mobility only",IF(F74&lt;=8,"Main lift top set only; −1 set on every accessory; RPE cap 7","Train as planned")))</f>
        <v/>
      </c>
      <c r="H74" s="20"/>
      <c r="I74" s="20"/>
      <c r="J74" s="54"/>
      <c r="K74" s="12" t="str">
        <f aca="false">IF(I74="","",IF(I74&gt;=5,"Drop that pattern this week",IF(I74&gt;=3,"Swap that exercise","OK")))</f>
        <v/>
      </c>
      <c r="L74" s="20"/>
    </row>
    <row r="75" customFormat="false" ht="15" hidden="false" customHeight="false" outlineLevel="0" collapsed="false">
      <c r="A75" s="51"/>
      <c r="B75" s="11" t="str">
        <f aca="false">IF(A75="","",INT((A75-'Start here'!$C$5)/7)+1)</f>
        <v/>
      </c>
      <c r="C75" s="20"/>
      <c r="D75" s="20"/>
      <c r="E75" s="20"/>
      <c r="F75" s="11" t="str">
        <f aca="false">IF(COUNT(C75:E75)&lt;3,"",SUM(C75:E75))</f>
        <v/>
      </c>
      <c r="G75" s="12" t="str">
        <f aca="false">IF(F75="","",IF(F75&lt;=6,"Technique and mobility only",IF(F75&lt;=8,"Main lift top set only; −1 set on every accessory; RPE cap 7","Train as planned")))</f>
        <v/>
      </c>
      <c r="H75" s="20"/>
      <c r="I75" s="20"/>
      <c r="J75" s="54"/>
      <c r="K75" s="12" t="str">
        <f aca="false">IF(I75="","",IF(I75&gt;=5,"Drop that pattern this week",IF(I75&gt;=3,"Swap that exercise","OK")))</f>
        <v/>
      </c>
      <c r="L75" s="20"/>
    </row>
    <row r="76" customFormat="false" ht="15" hidden="false" customHeight="false" outlineLevel="0" collapsed="false">
      <c r="A76" s="51"/>
      <c r="B76" s="11" t="str">
        <f aca="false">IF(A76="","",INT((A76-'Start here'!$C$5)/7)+1)</f>
        <v/>
      </c>
      <c r="C76" s="20"/>
      <c r="D76" s="20"/>
      <c r="E76" s="20"/>
      <c r="F76" s="11" t="str">
        <f aca="false">IF(COUNT(C76:E76)&lt;3,"",SUM(C76:E76))</f>
        <v/>
      </c>
      <c r="G76" s="12" t="str">
        <f aca="false">IF(F76="","",IF(F76&lt;=6,"Technique and mobility only",IF(F76&lt;=8,"Main lift top set only; −1 set on every accessory; RPE cap 7","Train as planned")))</f>
        <v/>
      </c>
      <c r="H76" s="20"/>
      <c r="I76" s="20"/>
      <c r="J76" s="54"/>
      <c r="K76" s="12" t="str">
        <f aca="false">IF(I76="","",IF(I76&gt;=5,"Drop that pattern this week",IF(I76&gt;=3,"Swap that exercise","OK")))</f>
        <v/>
      </c>
      <c r="L76" s="20"/>
    </row>
    <row r="77" customFormat="false" ht="15" hidden="false" customHeight="false" outlineLevel="0" collapsed="false">
      <c r="A77" s="51"/>
      <c r="B77" s="11" t="str">
        <f aca="false">IF(A77="","",INT((A77-'Start here'!$C$5)/7)+1)</f>
        <v/>
      </c>
      <c r="C77" s="20"/>
      <c r="D77" s="20"/>
      <c r="E77" s="20"/>
      <c r="F77" s="11" t="str">
        <f aca="false">IF(COUNT(C77:E77)&lt;3,"",SUM(C77:E77))</f>
        <v/>
      </c>
      <c r="G77" s="12" t="str">
        <f aca="false">IF(F77="","",IF(F77&lt;=6,"Technique and mobility only",IF(F77&lt;=8,"Main lift top set only; −1 set on every accessory; RPE cap 7","Train as planned")))</f>
        <v/>
      </c>
      <c r="H77" s="20"/>
      <c r="I77" s="20"/>
      <c r="J77" s="54"/>
      <c r="K77" s="12" t="str">
        <f aca="false">IF(I77="","",IF(I77&gt;=5,"Drop that pattern this week",IF(I77&gt;=3,"Swap that exercise","OK")))</f>
        <v/>
      </c>
      <c r="L77" s="20"/>
    </row>
    <row r="78" customFormat="false" ht="15" hidden="false" customHeight="false" outlineLevel="0" collapsed="false">
      <c r="A78" s="51"/>
      <c r="B78" s="11" t="str">
        <f aca="false">IF(A78="","",INT((A78-'Start here'!$C$5)/7)+1)</f>
        <v/>
      </c>
      <c r="C78" s="20"/>
      <c r="D78" s="20"/>
      <c r="E78" s="20"/>
      <c r="F78" s="11" t="str">
        <f aca="false">IF(COUNT(C78:E78)&lt;3,"",SUM(C78:E78))</f>
        <v/>
      </c>
      <c r="G78" s="12" t="str">
        <f aca="false">IF(F78="","",IF(F78&lt;=6,"Technique and mobility only",IF(F78&lt;=8,"Main lift top set only; −1 set on every accessory; RPE cap 7","Train as planned")))</f>
        <v/>
      </c>
      <c r="H78" s="20"/>
      <c r="I78" s="20"/>
      <c r="J78" s="54"/>
      <c r="K78" s="12" t="str">
        <f aca="false">IF(I78="","",IF(I78&gt;=5,"Drop that pattern this week",IF(I78&gt;=3,"Swap that exercise","OK")))</f>
        <v/>
      </c>
      <c r="L78" s="20"/>
    </row>
    <row r="79" customFormat="false" ht="15" hidden="false" customHeight="false" outlineLevel="0" collapsed="false">
      <c r="A79" s="51"/>
      <c r="B79" s="11" t="str">
        <f aca="false">IF(A79="","",INT((A79-'Start here'!$C$5)/7)+1)</f>
        <v/>
      </c>
      <c r="C79" s="20"/>
      <c r="D79" s="20"/>
      <c r="E79" s="20"/>
      <c r="F79" s="11" t="str">
        <f aca="false">IF(COUNT(C79:E79)&lt;3,"",SUM(C79:E79))</f>
        <v/>
      </c>
      <c r="G79" s="12" t="str">
        <f aca="false">IF(F79="","",IF(F79&lt;=6,"Technique and mobility only",IF(F79&lt;=8,"Main lift top set only; −1 set on every accessory; RPE cap 7","Train as planned")))</f>
        <v/>
      </c>
      <c r="H79" s="20"/>
      <c r="I79" s="20"/>
      <c r="J79" s="54"/>
      <c r="K79" s="12" t="str">
        <f aca="false">IF(I79="","",IF(I79&gt;=5,"Drop that pattern this week",IF(I79&gt;=3,"Swap that exercise","OK")))</f>
        <v/>
      </c>
      <c r="L79" s="20"/>
    </row>
    <row r="80" customFormat="false" ht="15" hidden="false" customHeight="false" outlineLevel="0" collapsed="false">
      <c r="A80" s="51"/>
      <c r="B80" s="11" t="str">
        <f aca="false">IF(A80="","",INT((A80-'Start here'!$C$5)/7)+1)</f>
        <v/>
      </c>
      <c r="C80" s="20"/>
      <c r="D80" s="20"/>
      <c r="E80" s="20"/>
      <c r="F80" s="11" t="str">
        <f aca="false">IF(COUNT(C80:E80)&lt;3,"",SUM(C80:E80))</f>
        <v/>
      </c>
      <c r="G80" s="12" t="str">
        <f aca="false">IF(F80="","",IF(F80&lt;=6,"Technique and mobility only",IF(F80&lt;=8,"Main lift top set only; −1 set on every accessory; RPE cap 7","Train as planned")))</f>
        <v/>
      </c>
      <c r="H80" s="20"/>
      <c r="I80" s="20"/>
      <c r="J80" s="54"/>
      <c r="K80" s="12" t="str">
        <f aca="false">IF(I80="","",IF(I80&gt;=5,"Drop that pattern this week",IF(I80&gt;=3,"Swap that exercise","OK")))</f>
        <v/>
      </c>
      <c r="L80" s="20"/>
    </row>
    <row r="81" customFormat="false" ht="15" hidden="false" customHeight="false" outlineLevel="0" collapsed="false">
      <c r="A81" s="51"/>
      <c r="B81" s="11" t="str">
        <f aca="false">IF(A81="","",INT((A81-'Start here'!$C$5)/7)+1)</f>
        <v/>
      </c>
      <c r="C81" s="20"/>
      <c r="D81" s="20"/>
      <c r="E81" s="20"/>
      <c r="F81" s="11" t="str">
        <f aca="false">IF(COUNT(C81:E81)&lt;3,"",SUM(C81:E81))</f>
        <v/>
      </c>
      <c r="G81" s="12" t="str">
        <f aca="false">IF(F81="","",IF(F81&lt;=6,"Technique and mobility only",IF(F81&lt;=8,"Main lift top set only; −1 set on every accessory; RPE cap 7","Train as planned")))</f>
        <v/>
      </c>
      <c r="H81" s="20"/>
      <c r="I81" s="20"/>
      <c r="J81" s="54"/>
      <c r="K81" s="12" t="str">
        <f aca="false">IF(I81="","",IF(I81&gt;=5,"Drop that pattern this week",IF(I81&gt;=3,"Swap that exercise","OK")))</f>
        <v/>
      </c>
      <c r="L81" s="20"/>
    </row>
    <row r="82" customFormat="false" ht="15" hidden="false" customHeight="false" outlineLevel="0" collapsed="false">
      <c r="A82" s="51"/>
      <c r="B82" s="11" t="str">
        <f aca="false">IF(A82="","",INT((A82-'Start here'!$C$5)/7)+1)</f>
        <v/>
      </c>
      <c r="C82" s="20"/>
      <c r="D82" s="20"/>
      <c r="E82" s="20"/>
      <c r="F82" s="11" t="str">
        <f aca="false">IF(COUNT(C82:E82)&lt;3,"",SUM(C82:E82))</f>
        <v/>
      </c>
      <c r="G82" s="12" t="str">
        <f aca="false">IF(F82="","",IF(F82&lt;=6,"Technique and mobility only",IF(F82&lt;=8,"Main lift top set only; −1 set on every accessory; RPE cap 7","Train as planned")))</f>
        <v/>
      </c>
      <c r="H82" s="20"/>
      <c r="I82" s="20"/>
      <c r="J82" s="54"/>
      <c r="K82" s="12" t="str">
        <f aca="false">IF(I82="","",IF(I82&gt;=5,"Drop that pattern this week",IF(I82&gt;=3,"Swap that exercise","OK")))</f>
        <v/>
      </c>
      <c r="L82" s="20"/>
    </row>
    <row r="83" customFormat="false" ht="15" hidden="false" customHeight="false" outlineLevel="0" collapsed="false">
      <c r="A83" s="51"/>
      <c r="B83" s="11" t="str">
        <f aca="false">IF(A83="","",INT((A83-'Start here'!$C$5)/7)+1)</f>
        <v/>
      </c>
      <c r="C83" s="20"/>
      <c r="D83" s="20"/>
      <c r="E83" s="20"/>
      <c r="F83" s="11" t="str">
        <f aca="false">IF(COUNT(C83:E83)&lt;3,"",SUM(C83:E83))</f>
        <v/>
      </c>
      <c r="G83" s="12" t="str">
        <f aca="false">IF(F83="","",IF(F83&lt;=6,"Technique and mobility only",IF(F83&lt;=8,"Main lift top set only; −1 set on every accessory; RPE cap 7","Train as planned")))</f>
        <v/>
      </c>
      <c r="H83" s="20"/>
      <c r="I83" s="20"/>
      <c r="J83" s="54"/>
      <c r="K83" s="12" t="str">
        <f aca="false">IF(I83="","",IF(I83&gt;=5,"Drop that pattern this week",IF(I83&gt;=3,"Swap that exercise","OK")))</f>
        <v/>
      </c>
      <c r="L83" s="20"/>
    </row>
    <row r="84" customFormat="false" ht="15" hidden="false" customHeight="false" outlineLevel="0" collapsed="false">
      <c r="A84" s="51"/>
      <c r="B84" s="11" t="str">
        <f aca="false">IF(A84="","",INT((A84-'Start here'!$C$5)/7)+1)</f>
        <v/>
      </c>
      <c r="C84" s="20"/>
      <c r="D84" s="20"/>
      <c r="E84" s="20"/>
      <c r="F84" s="11" t="str">
        <f aca="false">IF(COUNT(C84:E84)&lt;3,"",SUM(C84:E84))</f>
        <v/>
      </c>
      <c r="G84" s="12" t="str">
        <f aca="false">IF(F84="","",IF(F84&lt;=6,"Technique and mobility only",IF(F84&lt;=8,"Main lift top set only; −1 set on every accessory; RPE cap 7","Train as planned")))</f>
        <v/>
      </c>
      <c r="H84" s="20"/>
      <c r="I84" s="20"/>
      <c r="J84" s="54"/>
      <c r="K84" s="12" t="str">
        <f aca="false">IF(I84="","",IF(I84&gt;=5,"Drop that pattern this week",IF(I84&gt;=3,"Swap that exercise","OK")))</f>
        <v/>
      </c>
      <c r="L84" s="20"/>
    </row>
    <row r="85" customFormat="false" ht="15" hidden="false" customHeight="false" outlineLevel="0" collapsed="false">
      <c r="A85" s="51"/>
      <c r="B85" s="11" t="str">
        <f aca="false">IF(A85="","",INT((A85-'Start here'!$C$5)/7)+1)</f>
        <v/>
      </c>
      <c r="C85" s="20"/>
      <c r="D85" s="20"/>
      <c r="E85" s="20"/>
      <c r="F85" s="11" t="str">
        <f aca="false">IF(COUNT(C85:E85)&lt;3,"",SUM(C85:E85))</f>
        <v/>
      </c>
      <c r="G85" s="12" t="str">
        <f aca="false">IF(F85="","",IF(F85&lt;=6,"Technique and mobility only",IF(F85&lt;=8,"Main lift top set only; −1 set on every accessory; RPE cap 7","Train as planned")))</f>
        <v/>
      </c>
      <c r="H85" s="20"/>
      <c r="I85" s="20"/>
      <c r="J85" s="54"/>
      <c r="K85" s="12" t="str">
        <f aca="false">IF(I85="","",IF(I85&gt;=5,"Drop that pattern this week",IF(I85&gt;=3,"Swap that exercise","OK")))</f>
        <v/>
      </c>
      <c r="L85" s="20"/>
    </row>
    <row r="86" customFormat="false" ht="15" hidden="false" customHeight="false" outlineLevel="0" collapsed="false">
      <c r="A86" s="51"/>
      <c r="B86" s="11" t="str">
        <f aca="false">IF(A86="","",INT((A86-'Start here'!$C$5)/7)+1)</f>
        <v/>
      </c>
      <c r="C86" s="20"/>
      <c r="D86" s="20"/>
      <c r="E86" s="20"/>
      <c r="F86" s="11" t="str">
        <f aca="false">IF(COUNT(C86:E86)&lt;3,"",SUM(C86:E86))</f>
        <v/>
      </c>
      <c r="G86" s="12" t="str">
        <f aca="false">IF(F86="","",IF(F86&lt;=6,"Technique and mobility only",IF(F86&lt;=8,"Main lift top set only; −1 set on every accessory; RPE cap 7","Train as planned")))</f>
        <v/>
      </c>
      <c r="H86" s="20"/>
      <c r="I86" s="20"/>
      <c r="J86" s="54"/>
      <c r="K86" s="12" t="str">
        <f aca="false">IF(I86="","",IF(I86&gt;=5,"Drop that pattern this week",IF(I86&gt;=3,"Swap that exercise","OK")))</f>
        <v/>
      </c>
      <c r="L86" s="20"/>
    </row>
    <row r="87" customFormat="false" ht="15" hidden="false" customHeight="false" outlineLevel="0" collapsed="false">
      <c r="A87" s="51"/>
      <c r="B87" s="11" t="str">
        <f aca="false">IF(A87="","",INT((A87-'Start here'!$C$5)/7)+1)</f>
        <v/>
      </c>
      <c r="C87" s="20"/>
      <c r="D87" s="20"/>
      <c r="E87" s="20"/>
      <c r="F87" s="11" t="str">
        <f aca="false">IF(COUNT(C87:E87)&lt;3,"",SUM(C87:E87))</f>
        <v/>
      </c>
      <c r="G87" s="12" t="str">
        <f aca="false">IF(F87="","",IF(F87&lt;=6,"Technique and mobility only",IF(F87&lt;=8,"Main lift top set only; −1 set on every accessory; RPE cap 7","Train as planned")))</f>
        <v/>
      </c>
      <c r="H87" s="20"/>
      <c r="I87" s="20"/>
      <c r="J87" s="54"/>
      <c r="K87" s="12" t="str">
        <f aca="false">IF(I87="","",IF(I87&gt;=5,"Drop that pattern this week",IF(I87&gt;=3,"Swap that exercise","OK")))</f>
        <v/>
      </c>
      <c r="L87" s="20"/>
    </row>
    <row r="88" customFormat="false" ht="15" hidden="false" customHeight="false" outlineLevel="0" collapsed="false">
      <c r="A88" s="51"/>
      <c r="B88" s="11" t="str">
        <f aca="false">IF(A88="","",INT((A88-'Start here'!$C$5)/7)+1)</f>
        <v/>
      </c>
      <c r="C88" s="20"/>
      <c r="D88" s="20"/>
      <c r="E88" s="20"/>
      <c r="F88" s="11" t="str">
        <f aca="false">IF(COUNT(C88:E88)&lt;3,"",SUM(C88:E88))</f>
        <v/>
      </c>
      <c r="G88" s="12" t="str">
        <f aca="false">IF(F88="","",IF(F88&lt;=6,"Technique and mobility only",IF(F88&lt;=8,"Main lift top set only; −1 set on every accessory; RPE cap 7","Train as planned")))</f>
        <v/>
      </c>
      <c r="H88" s="20"/>
      <c r="I88" s="20"/>
      <c r="J88" s="54"/>
      <c r="K88" s="12" t="str">
        <f aca="false">IF(I88="","",IF(I88&gt;=5,"Drop that pattern this week",IF(I88&gt;=3,"Swap that exercise","OK")))</f>
        <v/>
      </c>
      <c r="L88" s="20"/>
    </row>
    <row r="89" customFormat="false" ht="15" hidden="false" customHeight="false" outlineLevel="0" collapsed="false">
      <c r="A89" s="51"/>
      <c r="B89" s="11" t="str">
        <f aca="false">IF(A89="","",INT((A89-'Start here'!$C$5)/7)+1)</f>
        <v/>
      </c>
      <c r="C89" s="20"/>
      <c r="D89" s="20"/>
      <c r="E89" s="20"/>
      <c r="F89" s="11" t="str">
        <f aca="false">IF(COUNT(C89:E89)&lt;3,"",SUM(C89:E89))</f>
        <v/>
      </c>
      <c r="G89" s="12" t="str">
        <f aca="false">IF(F89="","",IF(F89&lt;=6,"Technique and mobility only",IF(F89&lt;=8,"Main lift top set only; −1 set on every accessory; RPE cap 7","Train as planned")))</f>
        <v/>
      </c>
      <c r="H89" s="20"/>
      <c r="I89" s="20"/>
      <c r="J89" s="54"/>
      <c r="K89" s="12" t="str">
        <f aca="false">IF(I89="","",IF(I89&gt;=5,"Drop that pattern this week",IF(I89&gt;=3,"Swap that exercise","OK")))</f>
        <v/>
      </c>
      <c r="L89" s="20"/>
    </row>
    <row r="90" customFormat="false" ht="15" hidden="false" customHeight="false" outlineLevel="0" collapsed="false">
      <c r="A90" s="51"/>
      <c r="B90" s="11" t="str">
        <f aca="false">IF(A90="","",INT((A90-'Start here'!$C$5)/7)+1)</f>
        <v/>
      </c>
      <c r="C90" s="20"/>
      <c r="D90" s="20"/>
      <c r="E90" s="20"/>
      <c r="F90" s="11" t="str">
        <f aca="false">IF(COUNT(C90:E90)&lt;3,"",SUM(C90:E90))</f>
        <v/>
      </c>
      <c r="G90" s="12" t="str">
        <f aca="false">IF(F90="","",IF(F90&lt;=6,"Technique and mobility only",IF(F90&lt;=8,"Main lift top set only; −1 set on every accessory; RPE cap 7","Train as planned")))</f>
        <v/>
      </c>
      <c r="H90" s="20"/>
      <c r="I90" s="20"/>
      <c r="J90" s="54"/>
      <c r="K90" s="12" t="str">
        <f aca="false">IF(I90="","",IF(I90&gt;=5,"Drop that pattern this week",IF(I90&gt;=3,"Swap that exercise","OK")))</f>
        <v/>
      </c>
      <c r="L90" s="20"/>
    </row>
    <row r="91" customFormat="false" ht="15" hidden="false" customHeight="false" outlineLevel="0" collapsed="false">
      <c r="A91" s="51"/>
      <c r="B91" s="11" t="str">
        <f aca="false">IF(A91="","",INT((A91-'Start here'!$C$5)/7)+1)</f>
        <v/>
      </c>
      <c r="C91" s="20"/>
      <c r="D91" s="20"/>
      <c r="E91" s="20"/>
      <c r="F91" s="11" t="str">
        <f aca="false">IF(COUNT(C91:E91)&lt;3,"",SUM(C91:E91))</f>
        <v/>
      </c>
      <c r="G91" s="12" t="str">
        <f aca="false">IF(F91="","",IF(F91&lt;=6,"Technique and mobility only",IF(F91&lt;=8,"Main lift top set only; −1 set on every accessory; RPE cap 7","Train as planned")))</f>
        <v/>
      </c>
      <c r="H91" s="20"/>
      <c r="I91" s="20"/>
      <c r="J91" s="54"/>
      <c r="K91" s="12" t="str">
        <f aca="false">IF(I91="","",IF(I91&gt;=5,"Drop that pattern this week",IF(I91&gt;=3,"Swap that exercise","OK")))</f>
        <v/>
      </c>
      <c r="L91" s="20"/>
    </row>
    <row r="92" customFormat="false" ht="15" hidden="false" customHeight="false" outlineLevel="0" collapsed="false">
      <c r="A92" s="51"/>
      <c r="B92" s="11" t="str">
        <f aca="false">IF(A92="","",INT((A92-'Start here'!$C$5)/7)+1)</f>
        <v/>
      </c>
      <c r="C92" s="20"/>
      <c r="D92" s="20"/>
      <c r="E92" s="20"/>
      <c r="F92" s="11" t="str">
        <f aca="false">IF(COUNT(C92:E92)&lt;3,"",SUM(C92:E92))</f>
        <v/>
      </c>
      <c r="G92" s="12" t="str">
        <f aca="false">IF(F92="","",IF(F92&lt;=6,"Technique and mobility only",IF(F92&lt;=8,"Main lift top set only; −1 set on every accessory; RPE cap 7","Train as planned")))</f>
        <v/>
      </c>
      <c r="H92" s="20"/>
      <c r="I92" s="20"/>
      <c r="J92" s="54"/>
      <c r="K92" s="12" t="str">
        <f aca="false">IF(I92="","",IF(I92&gt;=5,"Drop that pattern this week",IF(I92&gt;=3,"Swap that exercise","OK")))</f>
        <v/>
      </c>
      <c r="L92" s="20"/>
    </row>
    <row r="93" customFormat="false" ht="15" hidden="false" customHeight="false" outlineLevel="0" collapsed="false">
      <c r="A93" s="51"/>
      <c r="B93" s="11" t="str">
        <f aca="false">IF(A93="","",INT((A93-'Start here'!$C$5)/7)+1)</f>
        <v/>
      </c>
      <c r="C93" s="20"/>
      <c r="D93" s="20"/>
      <c r="E93" s="20"/>
      <c r="F93" s="11" t="str">
        <f aca="false">IF(COUNT(C93:E93)&lt;3,"",SUM(C93:E93))</f>
        <v/>
      </c>
      <c r="G93" s="12" t="str">
        <f aca="false">IF(F93="","",IF(F93&lt;=6,"Technique and mobility only",IF(F93&lt;=8,"Main lift top set only; −1 set on every accessory; RPE cap 7","Train as planned")))</f>
        <v/>
      </c>
      <c r="H93" s="20"/>
      <c r="I93" s="20"/>
      <c r="J93" s="54"/>
      <c r="K93" s="12" t="str">
        <f aca="false">IF(I93="","",IF(I93&gt;=5,"Drop that pattern this week",IF(I93&gt;=3,"Swap that exercise","OK")))</f>
        <v/>
      </c>
      <c r="L93" s="20"/>
    </row>
    <row r="94" customFormat="false" ht="15" hidden="false" customHeight="false" outlineLevel="0" collapsed="false">
      <c r="A94" s="51"/>
      <c r="B94" s="11" t="str">
        <f aca="false">IF(A94="","",INT((A94-'Start here'!$C$5)/7)+1)</f>
        <v/>
      </c>
      <c r="C94" s="20"/>
      <c r="D94" s="20"/>
      <c r="E94" s="20"/>
      <c r="F94" s="11" t="str">
        <f aca="false">IF(COUNT(C94:E94)&lt;3,"",SUM(C94:E94))</f>
        <v/>
      </c>
      <c r="G94" s="12" t="str">
        <f aca="false">IF(F94="","",IF(F94&lt;=6,"Technique and mobility only",IF(F94&lt;=8,"Main lift top set only; −1 set on every accessory; RPE cap 7","Train as planned")))</f>
        <v/>
      </c>
      <c r="H94" s="20"/>
      <c r="I94" s="20"/>
      <c r="J94" s="54"/>
      <c r="K94" s="12" t="str">
        <f aca="false">IF(I94="","",IF(I94&gt;=5,"Drop that pattern this week",IF(I94&gt;=3,"Swap that exercise","OK")))</f>
        <v/>
      </c>
      <c r="L94" s="20"/>
    </row>
    <row r="95" customFormat="false" ht="15" hidden="false" customHeight="false" outlineLevel="0" collapsed="false">
      <c r="A95" s="51"/>
      <c r="B95" s="11" t="str">
        <f aca="false">IF(A95="","",INT((A95-'Start here'!$C$5)/7)+1)</f>
        <v/>
      </c>
      <c r="C95" s="20"/>
      <c r="D95" s="20"/>
      <c r="E95" s="20"/>
      <c r="F95" s="11" t="str">
        <f aca="false">IF(COUNT(C95:E95)&lt;3,"",SUM(C95:E95))</f>
        <v/>
      </c>
      <c r="G95" s="12" t="str">
        <f aca="false">IF(F95="","",IF(F95&lt;=6,"Technique and mobility only",IF(F95&lt;=8,"Main lift top set only; −1 set on every accessory; RPE cap 7","Train as planned")))</f>
        <v/>
      </c>
      <c r="H95" s="20"/>
      <c r="I95" s="20"/>
      <c r="J95" s="54"/>
      <c r="K95" s="12" t="str">
        <f aca="false">IF(I95="","",IF(I95&gt;=5,"Drop that pattern this week",IF(I95&gt;=3,"Swap that exercise","OK")))</f>
        <v/>
      </c>
      <c r="L95" s="20"/>
    </row>
    <row r="96" customFormat="false" ht="15" hidden="false" customHeight="false" outlineLevel="0" collapsed="false">
      <c r="A96" s="51"/>
      <c r="B96" s="11" t="str">
        <f aca="false">IF(A96="","",INT((A96-'Start here'!$C$5)/7)+1)</f>
        <v/>
      </c>
      <c r="C96" s="20"/>
      <c r="D96" s="20"/>
      <c r="E96" s="20"/>
      <c r="F96" s="11" t="str">
        <f aca="false">IF(COUNT(C96:E96)&lt;3,"",SUM(C96:E96))</f>
        <v/>
      </c>
      <c r="G96" s="12" t="str">
        <f aca="false">IF(F96="","",IF(F96&lt;=6,"Technique and mobility only",IF(F96&lt;=8,"Main lift top set only; −1 set on every accessory; RPE cap 7","Train as planned")))</f>
        <v/>
      </c>
      <c r="H96" s="20"/>
      <c r="I96" s="20"/>
      <c r="J96" s="54"/>
      <c r="K96" s="12" t="str">
        <f aca="false">IF(I96="","",IF(I96&gt;=5,"Drop that pattern this week",IF(I96&gt;=3,"Swap that exercise","OK")))</f>
        <v/>
      </c>
      <c r="L96" s="20"/>
    </row>
    <row r="97" customFormat="false" ht="15" hidden="false" customHeight="false" outlineLevel="0" collapsed="false">
      <c r="A97" s="51"/>
      <c r="B97" s="11" t="str">
        <f aca="false">IF(A97="","",INT((A97-'Start here'!$C$5)/7)+1)</f>
        <v/>
      </c>
      <c r="C97" s="20"/>
      <c r="D97" s="20"/>
      <c r="E97" s="20"/>
      <c r="F97" s="11" t="str">
        <f aca="false">IF(COUNT(C97:E97)&lt;3,"",SUM(C97:E97))</f>
        <v/>
      </c>
      <c r="G97" s="12" t="str">
        <f aca="false">IF(F97="","",IF(F97&lt;=6,"Technique and mobility only",IF(F97&lt;=8,"Main lift top set only; −1 set on every accessory; RPE cap 7","Train as planned")))</f>
        <v/>
      </c>
      <c r="H97" s="20"/>
      <c r="I97" s="20"/>
      <c r="J97" s="54"/>
      <c r="K97" s="12" t="str">
        <f aca="false">IF(I97="","",IF(I97&gt;=5,"Drop that pattern this week",IF(I97&gt;=3,"Swap that exercise","OK")))</f>
        <v/>
      </c>
      <c r="L97" s="20"/>
    </row>
    <row r="98" customFormat="false" ht="15" hidden="false" customHeight="false" outlineLevel="0" collapsed="false">
      <c r="A98" s="51"/>
      <c r="B98" s="11" t="str">
        <f aca="false">IF(A98="","",INT((A98-'Start here'!$C$5)/7)+1)</f>
        <v/>
      </c>
      <c r="C98" s="20"/>
      <c r="D98" s="20"/>
      <c r="E98" s="20"/>
      <c r="F98" s="11" t="str">
        <f aca="false">IF(COUNT(C98:E98)&lt;3,"",SUM(C98:E98))</f>
        <v/>
      </c>
      <c r="G98" s="12" t="str">
        <f aca="false">IF(F98="","",IF(F98&lt;=6,"Technique and mobility only",IF(F98&lt;=8,"Main lift top set only; −1 set on every accessory; RPE cap 7","Train as planned")))</f>
        <v/>
      </c>
      <c r="H98" s="20"/>
      <c r="I98" s="20"/>
      <c r="J98" s="54"/>
      <c r="K98" s="12" t="str">
        <f aca="false">IF(I98="","",IF(I98&gt;=5,"Drop that pattern this week",IF(I98&gt;=3,"Swap that exercise","OK")))</f>
        <v/>
      </c>
      <c r="L98" s="20"/>
    </row>
    <row r="99" customFormat="false" ht="15" hidden="false" customHeight="false" outlineLevel="0" collapsed="false">
      <c r="A99" s="51"/>
      <c r="B99" s="11" t="str">
        <f aca="false">IF(A99="","",INT((A99-'Start here'!$C$5)/7)+1)</f>
        <v/>
      </c>
      <c r="C99" s="20"/>
      <c r="D99" s="20"/>
      <c r="E99" s="20"/>
      <c r="F99" s="11" t="str">
        <f aca="false">IF(COUNT(C99:E99)&lt;3,"",SUM(C99:E99))</f>
        <v/>
      </c>
      <c r="G99" s="12" t="str">
        <f aca="false">IF(F99="","",IF(F99&lt;=6,"Technique and mobility only",IF(F99&lt;=8,"Main lift top set only; −1 set on every accessory; RPE cap 7","Train as planned")))</f>
        <v/>
      </c>
      <c r="H99" s="20"/>
      <c r="I99" s="20"/>
      <c r="J99" s="54"/>
      <c r="K99" s="12" t="str">
        <f aca="false">IF(I99="","",IF(I99&gt;=5,"Drop that pattern this week",IF(I99&gt;=3,"Swap that exercise","OK")))</f>
        <v/>
      </c>
      <c r="L99" s="20"/>
    </row>
    <row r="100" customFormat="false" ht="15" hidden="false" customHeight="false" outlineLevel="0" collapsed="false">
      <c r="A100" s="51"/>
      <c r="B100" s="11" t="str">
        <f aca="false">IF(A100="","",INT((A100-'Start here'!$C$5)/7)+1)</f>
        <v/>
      </c>
      <c r="C100" s="20"/>
      <c r="D100" s="20"/>
      <c r="E100" s="20"/>
      <c r="F100" s="11" t="str">
        <f aca="false">IF(COUNT(C100:E100)&lt;3,"",SUM(C100:E100))</f>
        <v/>
      </c>
      <c r="G100" s="12" t="str">
        <f aca="false">IF(F100="","",IF(F100&lt;=6,"Technique and mobility only",IF(F100&lt;=8,"Main lift top set only; −1 set on every accessory; RPE cap 7","Train as planned")))</f>
        <v/>
      </c>
      <c r="H100" s="20"/>
      <c r="I100" s="20"/>
      <c r="J100" s="54"/>
      <c r="K100" s="12" t="str">
        <f aca="false">IF(I100="","",IF(I100&gt;=5,"Drop that pattern this week",IF(I100&gt;=3,"Swap that exercise","OK")))</f>
        <v/>
      </c>
      <c r="L100" s="20"/>
    </row>
    <row r="101" customFormat="false" ht="15" hidden="false" customHeight="false" outlineLevel="0" collapsed="false">
      <c r="A101" s="51"/>
      <c r="B101" s="11" t="str">
        <f aca="false">IF(A101="","",INT((A101-'Start here'!$C$5)/7)+1)</f>
        <v/>
      </c>
      <c r="C101" s="20"/>
      <c r="D101" s="20"/>
      <c r="E101" s="20"/>
      <c r="F101" s="11" t="str">
        <f aca="false">IF(COUNT(C101:E101)&lt;3,"",SUM(C101:E101))</f>
        <v/>
      </c>
      <c r="G101" s="12" t="str">
        <f aca="false">IF(F101="","",IF(F101&lt;=6,"Technique and mobility only",IF(F101&lt;=8,"Main lift top set only; −1 set on every accessory; RPE cap 7","Train as planned")))</f>
        <v/>
      </c>
      <c r="H101" s="20"/>
      <c r="I101" s="20"/>
      <c r="J101" s="54"/>
      <c r="K101" s="12" t="str">
        <f aca="false">IF(I101="","",IF(I101&gt;=5,"Drop that pattern this week",IF(I101&gt;=3,"Swap that exercise","OK")))</f>
        <v/>
      </c>
      <c r="L101" s="20"/>
    </row>
    <row r="102" customFormat="false" ht="15" hidden="false" customHeight="false" outlineLevel="0" collapsed="false">
      <c r="A102" s="51"/>
      <c r="B102" s="11" t="str">
        <f aca="false">IF(A102="","",INT((A102-'Start here'!$C$5)/7)+1)</f>
        <v/>
      </c>
      <c r="C102" s="20"/>
      <c r="D102" s="20"/>
      <c r="E102" s="20"/>
      <c r="F102" s="11" t="str">
        <f aca="false">IF(COUNT(C102:E102)&lt;3,"",SUM(C102:E102))</f>
        <v/>
      </c>
      <c r="G102" s="12" t="str">
        <f aca="false">IF(F102="","",IF(F102&lt;=6,"Technique and mobility only",IF(F102&lt;=8,"Main lift top set only; −1 set on every accessory; RPE cap 7","Train as planned")))</f>
        <v/>
      </c>
      <c r="H102" s="20"/>
      <c r="I102" s="20"/>
      <c r="J102" s="54"/>
      <c r="K102" s="12" t="str">
        <f aca="false">IF(I102="","",IF(I102&gt;=5,"Drop that pattern this week",IF(I102&gt;=3,"Swap that exercise","OK")))</f>
        <v/>
      </c>
      <c r="L102" s="20"/>
    </row>
    <row r="103" customFormat="false" ht="15" hidden="false" customHeight="false" outlineLevel="0" collapsed="false">
      <c r="A103" s="51"/>
      <c r="B103" s="11" t="str">
        <f aca="false">IF(A103="","",INT((A103-'Start here'!$C$5)/7)+1)</f>
        <v/>
      </c>
      <c r="C103" s="20"/>
      <c r="D103" s="20"/>
      <c r="E103" s="20"/>
      <c r="F103" s="11" t="str">
        <f aca="false">IF(COUNT(C103:E103)&lt;3,"",SUM(C103:E103))</f>
        <v/>
      </c>
      <c r="G103" s="12" t="str">
        <f aca="false">IF(F103="","",IF(F103&lt;=6,"Technique and mobility only",IF(F103&lt;=8,"Main lift top set only; −1 set on every accessory; RPE cap 7","Train as planned")))</f>
        <v/>
      </c>
      <c r="H103" s="20"/>
      <c r="I103" s="20"/>
      <c r="J103" s="54"/>
      <c r="K103" s="12" t="str">
        <f aca="false">IF(I103="","",IF(I103&gt;=5,"Drop that pattern this week",IF(I103&gt;=3,"Swap that exercise","OK")))</f>
        <v/>
      </c>
      <c r="L103" s="20"/>
    </row>
    <row r="104" customFormat="false" ht="15" hidden="false" customHeight="false" outlineLevel="0" collapsed="false">
      <c r="A104" s="51"/>
      <c r="B104" s="11" t="str">
        <f aca="false">IF(A104="","",INT((A104-'Start here'!$C$5)/7)+1)</f>
        <v/>
      </c>
      <c r="C104" s="20"/>
      <c r="D104" s="20"/>
      <c r="E104" s="20"/>
      <c r="F104" s="11" t="str">
        <f aca="false">IF(COUNT(C104:E104)&lt;3,"",SUM(C104:E104))</f>
        <v/>
      </c>
      <c r="G104" s="12" t="str">
        <f aca="false">IF(F104="","",IF(F104&lt;=6,"Technique and mobility only",IF(F104&lt;=8,"Main lift top set only; −1 set on every accessory; RPE cap 7","Train as planned")))</f>
        <v/>
      </c>
      <c r="H104" s="20"/>
      <c r="I104" s="20"/>
      <c r="J104" s="54"/>
      <c r="K104" s="12" t="str">
        <f aca="false">IF(I104="","",IF(I104&gt;=5,"Drop that pattern this week",IF(I104&gt;=3,"Swap that exercise","OK")))</f>
        <v/>
      </c>
      <c r="L104" s="20"/>
    </row>
    <row r="105" customFormat="false" ht="15" hidden="false" customHeight="false" outlineLevel="0" collapsed="false">
      <c r="A105" s="51"/>
      <c r="B105" s="11" t="str">
        <f aca="false">IF(A105="","",INT((A105-'Start here'!$C$5)/7)+1)</f>
        <v/>
      </c>
      <c r="C105" s="20"/>
      <c r="D105" s="20"/>
      <c r="E105" s="20"/>
      <c r="F105" s="11" t="str">
        <f aca="false">IF(COUNT(C105:E105)&lt;3,"",SUM(C105:E105))</f>
        <v/>
      </c>
      <c r="G105" s="12" t="str">
        <f aca="false">IF(F105="","",IF(F105&lt;=6,"Technique and mobility only",IF(F105&lt;=8,"Main lift top set only; −1 set on every accessory; RPE cap 7","Train as planned")))</f>
        <v/>
      </c>
      <c r="H105" s="20"/>
      <c r="I105" s="20"/>
      <c r="J105" s="54"/>
      <c r="K105" s="12" t="str">
        <f aca="false">IF(I105="","",IF(I105&gt;=5,"Drop that pattern this week",IF(I105&gt;=3,"Swap that exercise","OK")))</f>
        <v/>
      </c>
      <c r="L105" s="20"/>
    </row>
    <row r="106" customFormat="false" ht="15" hidden="false" customHeight="false" outlineLevel="0" collapsed="false">
      <c r="A106" s="51"/>
      <c r="B106" s="11" t="str">
        <f aca="false">IF(A106="","",INT((A106-'Start here'!$C$5)/7)+1)</f>
        <v/>
      </c>
      <c r="C106" s="20"/>
      <c r="D106" s="20"/>
      <c r="E106" s="20"/>
      <c r="F106" s="11" t="str">
        <f aca="false">IF(COUNT(C106:E106)&lt;3,"",SUM(C106:E106))</f>
        <v/>
      </c>
      <c r="G106" s="12" t="str">
        <f aca="false">IF(F106="","",IF(F106&lt;=6,"Technique and mobility only",IF(F106&lt;=8,"Main lift top set only; −1 set on every accessory; RPE cap 7","Train as planned")))</f>
        <v/>
      </c>
      <c r="H106" s="20"/>
      <c r="I106" s="20"/>
      <c r="J106" s="54"/>
      <c r="K106" s="12" t="str">
        <f aca="false">IF(I106="","",IF(I106&gt;=5,"Drop that pattern this week",IF(I106&gt;=3,"Swap that exercise","OK")))</f>
        <v/>
      </c>
      <c r="L106" s="20"/>
    </row>
    <row r="107" customFormat="false" ht="15" hidden="false" customHeight="false" outlineLevel="0" collapsed="false">
      <c r="A107" s="51"/>
      <c r="B107" s="11" t="str">
        <f aca="false">IF(A107="","",INT((A107-'Start here'!$C$5)/7)+1)</f>
        <v/>
      </c>
      <c r="C107" s="20"/>
      <c r="D107" s="20"/>
      <c r="E107" s="20"/>
      <c r="F107" s="11" t="str">
        <f aca="false">IF(COUNT(C107:E107)&lt;3,"",SUM(C107:E107))</f>
        <v/>
      </c>
      <c r="G107" s="12" t="str">
        <f aca="false">IF(F107="","",IF(F107&lt;=6,"Technique and mobility only",IF(F107&lt;=8,"Main lift top set only; −1 set on every accessory; RPE cap 7","Train as planned")))</f>
        <v/>
      </c>
      <c r="H107" s="20"/>
      <c r="I107" s="20"/>
      <c r="J107" s="54"/>
      <c r="K107" s="12" t="str">
        <f aca="false">IF(I107="","",IF(I107&gt;=5,"Drop that pattern this week",IF(I107&gt;=3,"Swap that exercise","OK")))</f>
        <v/>
      </c>
      <c r="L107" s="20"/>
    </row>
    <row r="108" customFormat="false" ht="15" hidden="false" customHeight="false" outlineLevel="0" collapsed="false">
      <c r="A108" s="51"/>
      <c r="B108" s="11" t="str">
        <f aca="false">IF(A108="","",INT((A108-'Start here'!$C$5)/7)+1)</f>
        <v/>
      </c>
      <c r="C108" s="20"/>
      <c r="D108" s="20"/>
      <c r="E108" s="20"/>
      <c r="F108" s="11" t="str">
        <f aca="false">IF(COUNT(C108:E108)&lt;3,"",SUM(C108:E108))</f>
        <v/>
      </c>
      <c r="G108" s="12" t="str">
        <f aca="false">IF(F108="","",IF(F108&lt;=6,"Technique and mobility only",IF(F108&lt;=8,"Main lift top set only; −1 set on every accessory; RPE cap 7","Train as planned")))</f>
        <v/>
      </c>
      <c r="H108" s="20"/>
      <c r="I108" s="20"/>
      <c r="J108" s="54"/>
      <c r="K108" s="12" t="str">
        <f aca="false">IF(I108="","",IF(I108&gt;=5,"Drop that pattern this week",IF(I108&gt;=3,"Swap that exercise","OK")))</f>
        <v/>
      </c>
      <c r="L108" s="20"/>
    </row>
    <row r="109" customFormat="false" ht="15" hidden="false" customHeight="false" outlineLevel="0" collapsed="false">
      <c r="A109" s="51"/>
      <c r="B109" s="11" t="str">
        <f aca="false">IF(A109="","",INT((A109-'Start here'!$C$5)/7)+1)</f>
        <v/>
      </c>
      <c r="C109" s="20"/>
      <c r="D109" s="20"/>
      <c r="E109" s="20"/>
      <c r="F109" s="11" t="str">
        <f aca="false">IF(COUNT(C109:E109)&lt;3,"",SUM(C109:E109))</f>
        <v/>
      </c>
      <c r="G109" s="12" t="str">
        <f aca="false">IF(F109="","",IF(F109&lt;=6,"Technique and mobility only",IF(F109&lt;=8,"Main lift top set only; −1 set on every accessory; RPE cap 7","Train as planned")))</f>
        <v/>
      </c>
      <c r="H109" s="20"/>
      <c r="I109" s="20"/>
      <c r="J109" s="54"/>
      <c r="K109" s="12" t="str">
        <f aca="false">IF(I109="","",IF(I109&gt;=5,"Drop that pattern this week",IF(I109&gt;=3,"Swap that exercise","OK")))</f>
        <v/>
      </c>
      <c r="L109" s="20"/>
    </row>
    <row r="110" customFormat="false" ht="15" hidden="false" customHeight="false" outlineLevel="0" collapsed="false">
      <c r="A110" s="51"/>
      <c r="B110" s="11" t="str">
        <f aca="false">IF(A110="","",INT((A110-'Start here'!$C$5)/7)+1)</f>
        <v/>
      </c>
      <c r="C110" s="20"/>
      <c r="D110" s="20"/>
      <c r="E110" s="20"/>
      <c r="F110" s="11" t="str">
        <f aca="false">IF(COUNT(C110:E110)&lt;3,"",SUM(C110:E110))</f>
        <v/>
      </c>
      <c r="G110" s="12" t="str">
        <f aca="false">IF(F110="","",IF(F110&lt;=6,"Technique and mobility only",IF(F110&lt;=8,"Main lift top set only; −1 set on every accessory; RPE cap 7","Train as planned")))</f>
        <v/>
      </c>
      <c r="H110" s="20"/>
      <c r="I110" s="20"/>
      <c r="J110" s="54"/>
      <c r="K110" s="12" t="str">
        <f aca="false">IF(I110="","",IF(I110&gt;=5,"Drop that pattern this week",IF(I110&gt;=3,"Swap that exercise","OK")))</f>
        <v/>
      </c>
      <c r="L110" s="20"/>
    </row>
    <row r="111" customFormat="false" ht="15" hidden="false" customHeight="false" outlineLevel="0" collapsed="false">
      <c r="A111" s="51"/>
      <c r="B111" s="11" t="str">
        <f aca="false">IF(A111="","",INT((A111-'Start here'!$C$5)/7)+1)</f>
        <v/>
      </c>
      <c r="C111" s="20"/>
      <c r="D111" s="20"/>
      <c r="E111" s="20"/>
      <c r="F111" s="11" t="str">
        <f aca="false">IF(COUNT(C111:E111)&lt;3,"",SUM(C111:E111))</f>
        <v/>
      </c>
      <c r="G111" s="12" t="str">
        <f aca="false">IF(F111="","",IF(F111&lt;=6,"Technique and mobility only",IF(F111&lt;=8,"Main lift top set only; −1 set on every accessory; RPE cap 7","Train as planned")))</f>
        <v/>
      </c>
      <c r="H111" s="20"/>
      <c r="I111" s="20"/>
      <c r="J111" s="54"/>
      <c r="K111" s="12" t="str">
        <f aca="false">IF(I111="","",IF(I111&gt;=5,"Drop that pattern this week",IF(I111&gt;=3,"Swap that exercise","OK")))</f>
        <v/>
      </c>
      <c r="L111" s="20"/>
    </row>
    <row r="112" customFormat="false" ht="15" hidden="false" customHeight="false" outlineLevel="0" collapsed="false">
      <c r="A112" s="51"/>
      <c r="B112" s="11" t="str">
        <f aca="false">IF(A112="","",INT((A112-'Start here'!$C$5)/7)+1)</f>
        <v/>
      </c>
      <c r="C112" s="20"/>
      <c r="D112" s="20"/>
      <c r="E112" s="20"/>
      <c r="F112" s="11" t="str">
        <f aca="false">IF(COUNT(C112:E112)&lt;3,"",SUM(C112:E112))</f>
        <v/>
      </c>
      <c r="G112" s="12" t="str">
        <f aca="false">IF(F112="","",IF(F112&lt;=6,"Technique and mobility only",IF(F112&lt;=8,"Main lift top set only; −1 set on every accessory; RPE cap 7","Train as planned")))</f>
        <v/>
      </c>
      <c r="H112" s="20"/>
      <c r="I112" s="20"/>
      <c r="J112" s="54"/>
      <c r="K112" s="12" t="str">
        <f aca="false">IF(I112="","",IF(I112&gt;=5,"Drop that pattern this week",IF(I112&gt;=3,"Swap that exercise","OK")))</f>
        <v/>
      </c>
      <c r="L112" s="20"/>
    </row>
    <row r="113" customFormat="false" ht="15" hidden="false" customHeight="false" outlineLevel="0" collapsed="false">
      <c r="A113" s="51"/>
      <c r="B113" s="11" t="str">
        <f aca="false">IF(A113="","",INT((A113-'Start here'!$C$5)/7)+1)</f>
        <v/>
      </c>
      <c r="C113" s="20"/>
      <c r="D113" s="20"/>
      <c r="E113" s="20"/>
      <c r="F113" s="11" t="str">
        <f aca="false">IF(COUNT(C113:E113)&lt;3,"",SUM(C113:E113))</f>
        <v/>
      </c>
      <c r="G113" s="12" t="str">
        <f aca="false">IF(F113="","",IF(F113&lt;=6,"Technique and mobility only",IF(F113&lt;=8,"Main lift top set only; −1 set on every accessory; RPE cap 7","Train as planned")))</f>
        <v/>
      </c>
      <c r="H113" s="20"/>
      <c r="I113" s="20"/>
      <c r="J113" s="54"/>
      <c r="K113" s="12" t="str">
        <f aca="false">IF(I113="","",IF(I113&gt;=5,"Drop that pattern this week",IF(I113&gt;=3,"Swap that exercise","OK")))</f>
        <v/>
      </c>
      <c r="L113" s="20"/>
    </row>
    <row r="114" customFormat="false" ht="15" hidden="false" customHeight="false" outlineLevel="0" collapsed="false">
      <c r="A114" s="51"/>
      <c r="B114" s="11" t="str">
        <f aca="false">IF(A114="","",INT((A114-'Start here'!$C$5)/7)+1)</f>
        <v/>
      </c>
      <c r="C114" s="20"/>
      <c r="D114" s="20"/>
      <c r="E114" s="20"/>
      <c r="F114" s="11" t="str">
        <f aca="false">IF(COUNT(C114:E114)&lt;3,"",SUM(C114:E114))</f>
        <v/>
      </c>
      <c r="G114" s="12" t="str">
        <f aca="false">IF(F114="","",IF(F114&lt;=6,"Technique and mobility only",IF(F114&lt;=8,"Main lift top set only; −1 set on every accessory; RPE cap 7","Train as planned")))</f>
        <v/>
      </c>
      <c r="H114" s="20"/>
      <c r="I114" s="20"/>
      <c r="J114" s="54"/>
      <c r="K114" s="12" t="str">
        <f aca="false">IF(I114="","",IF(I114&gt;=5,"Drop that pattern this week",IF(I114&gt;=3,"Swap that exercise","OK")))</f>
        <v/>
      </c>
      <c r="L114" s="20"/>
    </row>
    <row r="115" customFormat="false" ht="15" hidden="false" customHeight="false" outlineLevel="0" collapsed="false">
      <c r="A115" s="51"/>
      <c r="B115" s="11" t="str">
        <f aca="false">IF(A115="","",INT((A115-'Start here'!$C$5)/7)+1)</f>
        <v/>
      </c>
      <c r="C115" s="20"/>
      <c r="D115" s="20"/>
      <c r="E115" s="20"/>
      <c r="F115" s="11" t="str">
        <f aca="false">IF(COUNT(C115:E115)&lt;3,"",SUM(C115:E115))</f>
        <v/>
      </c>
      <c r="G115" s="12" t="str">
        <f aca="false">IF(F115="","",IF(F115&lt;=6,"Technique and mobility only",IF(F115&lt;=8,"Main lift top set only; −1 set on every accessory; RPE cap 7","Train as planned")))</f>
        <v/>
      </c>
      <c r="H115" s="20"/>
      <c r="I115" s="20"/>
      <c r="J115" s="54"/>
      <c r="K115" s="12" t="str">
        <f aca="false">IF(I115="","",IF(I115&gt;=5,"Drop that pattern this week",IF(I115&gt;=3,"Swap that exercise","OK")))</f>
        <v/>
      </c>
      <c r="L115" s="20"/>
    </row>
    <row r="116" customFormat="false" ht="15" hidden="false" customHeight="false" outlineLevel="0" collapsed="false">
      <c r="A116" s="51"/>
      <c r="B116" s="11" t="str">
        <f aca="false">IF(A116="","",INT((A116-'Start here'!$C$5)/7)+1)</f>
        <v/>
      </c>
      <c r="C116" s="20"/>
      <c r="D116" s="20"/>
      <c r="E116" s="20"/>
      <c r="F116" s="11" t="str">
        <f aca="false">IF(COUNT(C116:E116)&lt;3,"",SUM(C116:E116))</f>
        <v/>
      </c>
      <c r="G116" s="12" t="str">
        <f aca="false">IF(F116="","",IF(F116&lt;=6,"Technique and mobility only",IF(F116&lt;=8,"Main lift top set only; −1 set on every accessory; RPE cap 7","Train as planned")))</f>
        <v/>
      </c>
      <c r="H116" s="20"/>
      <c r="I116" s="20"/>
      <c r="J116" s="54"/>
      <c r="K116" s="12" t="str">
        <f aca="false">IF(I116="","",IF(I116&gt;=5,"Drop that pattern this week",IF(I116&gt;=3,"Swap that exercise","OK")))</f>
        <v/>
      </c>
      <c r="L116" s="20"/>
    </row>
    <row r="117" customFormat="false" ht="15" hidden="false" customHeight="false" outlineLevel="0" collapsed="false">
      <c r="A117" s="51"/>
      <c r="B117" s="11" t="str">
        <f aca="false">IF(A117="","",INT((A117-'Start here'!$C$5)/7)+1)</f>
        <v/>
      </c>
      <c r="C117" s="20"/>
      <c r="D117" s="20"/>
      <c r="E117" s="20"/>
      <c r="F117" s="11" t="str">
        <f aca="false">IF(COUNT(C117:E117)&lt;3,"",SUM(C117:E117))</f>
        <v/>
      </c>
      <c r="G117" s="12" t="str">
        <f aca="false">IF(F117="","",IF(F117&lt;=6,"Technique and mobility only",IF(F117&lt;=8,"Main lift top set only; −1 set on every accessory; RPE cap 7","Train as planned")))</f>
        <v/>
      </c>
      <c r="H117" s="20"/>
      <c r="I117" s="20"/>
      <c r="J117" s="54"/>
      <c r="K117" s="12" t="str">
        <f aca="false">IF(I117="","",IF(I117&gt;=5,"Drop that pattern this week",IF(I117&gt;=3,"Swap that exercise","OK")))</f>
        <v/>
      </c>
      <c r="L117" s="20"/>
    </row>
    <row r="118" customFormat="false" ht="15" hidden="false" customHeight="false" outlineLevel="0" collapsed="false">
      <c r="A118" s="51"/>
      <c r="B118" s="11" t="str">
        <f aca="false">IF(A118="","",INT((A118-'Start here'!$C$5)/7)+1)</f>
        <v/>
      </c>
      <c r="C118" s="20"/>
      <c r="D118" s="20"/>
      <c r="E118" s="20"/>
      <c r="F118" s="11" t="str">
        <f aca="false">IF(COUNT(C118:E118)&lt;3,"",SUM(C118:E118))</f>
        <v/>
      </c>
      <c r="G118" s="12" t="str">
        <f aca="false">IF(F118="","",IF(F118&lt;=6,"Technique and mobility only",IF(F118&lt;=8,"Main lift top set only; −1 set on every accessory; RPE cap 7","Train as planned")))</f>
        <v/>
      </c>
      <c r="H118" s="20"/>
      <c r="I118" s="20"/>
      <c r="J118" s="54"/>
      <c r="K118" s="12" t="str">
        <f aca="false">IF(I118="","",IF(I118&gt;=5,"Drop that pattern this week",IF(I118&gt;=3,"Swap that exercise","OK")))</f>
        <v/>
      </c>
      <c r="L118" s="20"/>
    </row>
    <row r="119" customFormat="false" ht="15" hidden="false" customHeight="false" outlineLevel="0" collapsed="false">
      <c r="A119" s="51"/>
      <c r="B119" s="11" t="str">
        <f aca="false">IF(A119="","",INT((A119-'Start here'!$C$5)/7)+1)</f>
        <v/>
      </c>
      <c r="C119" s="20"/>
      <c r="D119" s="20"/>
      <c r="E119" s="20"/>
      <c r="F119" s="11" t="str">
        <f aca="false">IF(COUNT(C119:E119)&lt;3,"",SUM(C119:E119))</f>
        <v/>
      </c>
      <c r="G119" s="12" t="str">
        <f aca="false">IF(F119="","",IF(F119&lt;=6,"Technique and mobility only",IF(F119&lt;=8,"Main lift top set only; −1 set on every accessory; RPE cap 7","Train as planned")))</f>
        <v/>
      </c>
      <c r="H119" s="20"/>
      <c r="I119" s="20"/>
      <c r="J119" s="54"/>
      <c r="K119" s="12" t="str">
        <f aca="false">IF(I119="","",IF(I119&gt;=5,"Drop that pattern this week",IF(I119&gt;=3,"Swap that exercise","OK")))</f>
        <v/>
      </c>
      <c r="L119" s="20"/>
    </row>
    <row r="120" customFormat="false" ht="15" hidden="false" customHeight="false" outlineLevel="0" collapsed="false">
      <c r="A120" s="51"/>
      <c r="B120" s="11" t="str">
        <f aca="false">IF(A120="","",INT((A120-'Start here'!$C$5)/7)+1)</f>
        <v/>
      </c>
      <c r="C120" s="20"/>
      <c r="D120" s="20"/>
      <c r="E120" s="20"/>
      <c r="F120" s="11" t="str">
        <f aca="false">IF(COUNT(C120:E120)&lt;3,"",SUM(C120:E120))</f>
        <v/>
      </c>
      <c r="G120" s="12" t="str">
        <f aca="false">IF(F120="","",IF(F120&lt;=6,"Technique and mobility only",IF(F120&lt;=8,"Main lift top set only; −1 set on every accessory; RPE cap 7","Train as planned")))</f>
        <v/>
      </c>
      <c r="H120" s="20"/>
      <c r="I120" s="20"/>
      <c r="J120" s="54"/>
      <c r="K120" s="12" t="str">
        <f aca="false">IF(I120="","",IF(I120&gt;=5,"Drop that pattern this week",IF(I120&gt;=3,"Swap that exercise","OK")))</f>
        <v/>
      </c>
      <c r="L120" s="20"/>
    </row>
    <row r="121" customFormat="false" ht="15" hidden="false" customHeight="false" outlineLevel="0" collapsed="false">
      <c r="A121" s="51"/>
      <c r="B121" s="11" t="str">
        <f aca="false">IF(A121="","",INT((A121-'Start here'!$C$5)/7)+1)</f>
        <v/>
      </c>
      <c r="C121" s="20"/>
      <c r="D121" s="20"/>
      <c r="E121" s="20"/>
      <c r="F121" s="11" t="str">
        <f aca="false">IF(COUNT(C121:E121)&lt;3,"",SUM(C121:E121))</f>
        <v/>
      </c>
      <c r="G121" s="12" t="str">
        <f aca="false">IF(F121="","",IF(F121&lt;=6,"Technique and mobility only",IF(F121&lt;=8,"Main lift top set only; −1 set on every accessory; RPE cap 7","Train as planned")))</f>
        <v/>
      </c>
      <c r="H121" s="20"/>
      <c r="I121" s="20"/>
      <c r="J121" s="54"/>
      <c r="K121" s="12" t="str">
        <f aca="false">IF(I121="","",IF(I121&gt;=5,"Drop that pattern this week",IF(I121&gt;=3,"Swap that exercise","OK")))</f>
        <v/>
      </c>
      <c r="L121" s="20"/>
    </row>
    <row r="122" customFormat="false" ht="15" hidden="false" customHeight="false" outlineLevel="0" collapsed="false">
      <c r="A122" s="51"/>
      <c r="B122" s="11" t="str">
        <f aca="false">IF(A122="","",INT((A122-'Start here'!$C$5)/7)+1)</f>
        <v/>
      </c>
      <c r="C122" s="20"/>
      <c r="D122" s="20"/>
      <c r="E122" s="20"/>
      <c r="F122" s="11" t="str">
        <f aca="false">IF(COUNT(C122:E122)&lt;3,"",SUM(C122:E122))</f>
        <v/>
      </c>
      <c r="G122" s="12" t="str">
        <f aca="false">IF(F122="","",IF(F122&lt;=6,"Technique and mobility only",IF(F122&lt;=8,"Main lift top set only; −1 set on every accessory; RPE cap 7","Train as planned")))</f>
        <v/>
      </c>
      <c r="H122" s="20"/>
      <c r="I122" s="20"/>
      <c r="J122" s="54"/>
      <c r="K122" s="12" t="str">
        <f aca="false">IF(I122="","",IF(I122&gt;=5,"Drop that pattern this week",IF(I122&gt;=3,"Swap that exercise","OK")))</f>
        <v/>
      </c>
      <c r="L122" s="20"/>
    </row>
    <row r="123" customFormat="false" ht="15" hidden="false" customHeight="false" outlineLevel="0" collapsed="false">
      <c r="A123" s="51"/>
      <c r="B123" s="11" t="str">
        <f aca="false">IF(A123="","",INT((A123-'Start here'!$C$5)/7)+1)</f>
        <v/>
      </c>
      <c r="C123" s="20"/>
      <c r="D123" s="20"/>
      <c r="E123" s="20"/>
      <c r="F123" s="11" t="str">
        <f aca="false">IF(COUNT(C123:E123)&lt;3,"",SUM(C123:E123))</f>
        <v/>
      </c>
      <c r="G123" s="12" t="str">
        <f aca="false">IF(F123="","",IF(F123&lt;=6,"Technique and mobility only",IF(F123&lt;=8,"Main lift top set only; −1 set on every accessory; RPE cap 7","Train as planned")))</f>
        <v/>
      </c>
      <c r="H123" s="20"/>
      <c r="I123" s="20"/>
      <c r="J123" s="54"/>
      <c r="K123" s="12" t="str">
        <f aca="false">IF(I123="","",IF(I123&gt;=5,"Drop that pattern this week",IF(I123&gt;=3,"Swap that exercise","OK")))</f>
        <v/>
      </c>
      <c r="L123" s="20"/>
    </row>
    <row r="124" customFormat="false" ht="15" hidden="false" customHeight="false" outlineLevel="0" collapsed="false">
      <c r="A124" s="51"/>
      <c r="B124" s="11" t="str">
        <f aca="false">IF(A124="","",INT((A124-'Start here'!$C$5)/7)+1)</f>
        <v/>
      </c>
      <c r="C124" s="20"/>
      <c r="D124" s="20"/>
      <c r="E124" s="20"/>
      <c r="F124" s="11" t="str">
        <f aca="false">IF(COUNT(C124:E124)&lt;3,"",SUM(C124:E124))</f>
        <v/>
      </c>
      <c r="G124" s="12" t="str">
        <f aca="false">IF(F124="","",IF(F124&lt;=6,"Technique and mobility only",IF(F124&lt;=8,"Main lift top set only; −1 set on every accessory; RPE cap 7","Train as planned")))</f>
        <v/>
      </c>
      <c r="H124" s="20"/>
      <c r="I124" s="20"/>
      <c r="J124" s="54"/>
      <c r="K124" s="12" t="str">
        <f aca="false">IF(I124="","",IF(I124&gt;=5,"Drop that pattern this week",IF(I124&gt;=3,"Swap that exercise","OK")))</f>
        <v/>
      </c>
      <c r="L124" s="20"/>
    </row>
    <row r="125" customFormat="false" ht="15" hidden="false" customHeight="false" outlineLevel="0" collapsed="false">
      <c r="A125" s="51"/>
      <c r="B125" s="11" t="str">
        <f aca="false">IF(A125="","",INT((A125-'Start here'!$C$5)/7)+1)</f>
        <v/>
      </c>
      <c r="C125" s="20"/>
      <c r="D125" s="20"/>
      <c r="E125" s="20"/>
      <c r="F125" s="11" t="str">
        <f aca="false">IF(COUNT(C125:E125)&lt;3,"",SUM(C125:E125))</f>
        <v/>
      </c>
      <c r="G125" s="12" t="str">
        <f aca="false">IF(F125="","",IF(F125&lt;=6,"Technique and mobility only",IF(F125&lt;=8,"Main lift top set only; −1 set on every accessory; RPE cap 7","Train as planned")))</f>
        <v/>
      </c>
      <c r="H125" s="20"/>
      <c r="I125" s="20"/>
      <c r="J125" s="54"/>
      <c r="K125" s="12" t="str">
        <f aca="false">IF(I125="","",IF(I125&gt;=5,"Drop that pattern this week",IF(I125&gt;=3,"Swap that exercise","OK")))</f>
        <v/>
      </c>
      <c r="L125" s="20"/>
    </row>
    <row r="126" customFormat="false" ht="15" hidden="false" customHeight="false" outlineLevel="0" collapsed="false">
      <c r="A126" s="51"/>
      <c r="B126" s="11" t="str">
        <f aca="false">IF(A126="","",INT((A126-'Start here'!$C$5)/7)+1)</f>
        <v/>
      </c>
      <c r="C126" s="20"/>
      <c r="D126" s="20"/>
      <c r="E126" s="20"/>
      <c r="F126" s="11" t="str">
        <f aca="false">IF(COUNT(C126:E126)&lt;3,"",SUM(C126:E126))</f>
        <v/>
      </c>
      <c r="G126" s="12" t="str">
        <f aca="false">IF(F126="","",IF(F126&lt;=6,"Technique and mobility only",IF(F126&lt;=8,"Main lift top set only; −1 set on every accessory; RPE cap 7","Train as planned")))</f>
        <v/>
      </c>
      <c r="H126" s="20"/>
      <c r="I126" s="20"/>
      <c r="J126" s="54"/>
      <c r="K126" s="12" t="str">
        <f aca="false">IF(I126="","",IF(I126&gt;=5,"Drop that pattern this week",IF(I126&gt;=3,"Swap that exercise","OK")))</f>
        <v/>
      </c>
      <c r="L126" s="20"/>
    </row>
    <row r="127" customFormat="false" ht="15" hidden="false" customHeight="false" outlineLevel="0" collapsed="false">
      <c r="A127" s="51"/>
      <c r="B127" s="11" t="str">
        <f aca="false">IF(A127="","",INT((A127-'Start here'!$C$5)/7)+1)</f>
        <v/>
      </c>
      <c r="C127" s="20"/>
      <c r="D127" s="20"/>
      <c r="E127" s="20"/>
      <c r="F127" s="11" t="str">
        <f aca="false">IF(COUNT(C127:E127)&lt;3,"",SUM(C127:E127))</f>
        <v/>
      </c>
      <c r="G127" s="12" t="str">
        <f aca="false">IF(F127="","",IF(F127&lt;=6,"Technique and mobility only",IF(F127&lt;=8,"Main lift top set only; −1 set on every accessory; RPE cap 7","Train as planned")))</f>
        <v/>
      </c>
      <c r="H127" s="20"/>
      <c r="I127" s="20"/>
      <c r="J127" s="54"/>
      <c r="K127" s="12" t="str">
        <f aca="false">IF(I127="","",IF(I127&gt;=5,"Drop that pattern this week",IF(I127&gt;=3,"Swap that exercise","OK")))</f>
        <v/>
      </c>
      <c r="L127" s="20"/>
    </row>
    <row r="128" customFormat="false" ht="15" hidden="false" customHeight="false" outlineLevel="0" collapsed="false">
      <c r="A128" s="51"/>
      <c r="B128" s="11" t="str">
        <f aca="false">IF(A128="","",INT((A128-'Start here'!$C$5)/7)+1)</f>
        <v/>
      </c>
      <c r="C128" s="20"/>
      <c r="D128" s="20"/>
      <c r="E128" s="20"/>
      <c r="F128" s="11" t="str">
        <f aca="false">IF(COUNT(C128:E128)&lt;3,"",SUM(C128:E128))</f>
        <v/>
      </c>
      <c r="G128" s="12" t="str">
        <f aca="false">IF(F128="","",IF(F128&lt;=6,"Technique and mobility only",IF(F128&lt;=8,"Main lift top set only; −1 set on every accessory; RPE cap 7","Train as planned")))</f>
        <v/>
      </c>
      <c r="H128" s="20"/>
      <c r="I128" s="20"/>
      <c r="J128" s="54"/>
      <c r="K128" s="12" t="str">
        <f aca="false">IF(I128="","",IF(I128&gt;=5,"Drop that pattern this week",IF(I128&gt;=3,"Swap that exercise","OK")))</f>
        <v/>
      </c>
      <c r="L128" s="20"/>
    </row>
    <row r="129" customFormat="false" ht="15" hidden="false" customHeight="false" outlineLevel="0" collapsed="false">
      <c r="A129" s="51"/>
      <c r="B129" s="11" t="str">
        <f aca="false">IF(A129="","",INT((A129-'Start here'!$C$5)/7)+1)</f>
        <v/>
      </c>
      <c r="C129" s="20"/>
      <c r="D129" s="20"/>
      <c r="E129" s="20"/>
      <c r="F129" s="11" t="str">
        <f aca="false">IF(COUNT(C129:E129)&lt;3,"",SUM(C129:E129))</f>
        <v/>
      </c>
      <c r="G129" s="12" t="str">
        <f aca="false">IF(F129="","",IF(F129&lt;=6,"Technique and mobility only",IF(F129&lt;=8,"Main lift top set only; −1 set on every accessory; RPE cap 7","Train as planned")))</f>
        <v/>
      </c>
      <c r="H129" s="20"/>
      <c r="I129" s="20"/>
      <c r="J129" s="54"/>
      <c r="K129" s="12" t="str">
        <f aca="false">IF(I129="","",IF(I129&gt;=5,"Drop that pattern this week",IF(I129&gt;=3,"Swap that exercise","OK")))</f>
        <v/>
      </c>
      <c r="L129" s="20"/>
    </row>
    <row r="130" customFormat="false" ht="15" hidden="false" customHeight="false" outlineLevel="0" collapsed="false">
      <c r="A130" s="51"/>
      <c r="B130" s="11" t="str">
        <f aca="false">IF(A130="","",INT((A130-'Start here'!$C$5)/7)+1)</f>
        <v/>
      </c>
      <c r="C130" s="20"/>
      <c r="D130" s="20"/>
      <c r="E130" s="20"/>
      <c r="F130" s="11" t="str">
        <f aca="false">IF(COUNT(C130:E130)&lt;3,"",SUM(C130:E130))</f>
        <v/>
      </c>
      <c r="G130" s="12" t="str">
        <f aca="false">IF(F130="","",IF(F130&lt;=6,"Technique and mobility only",IF(F130&lt;=8,"Main lift top set only; −1 set on every accessory; RPE cap 7","Train as planned")))</f>
        <v/>
      </c>
      <c r="H130" s="20"/>
      <c r="I130" s="20"/>
      <c r="J130" s="54"/>
      <c r="K130" s="12" t="str">
        <f aca="false">IF(I130="","",IF(I130&gt;=5,"Drop that pattern this week",IF(I130&gt;=3,"Swap that exercise","OK")))</f>
        <v/>
      </c>
      <c r="L130" s="20"/>
    </row>
    <row r="131" customFormat="false" ht="15" hidden="false" customHeight="false" outlineLevel="0" collapsed="false">
      <c r="A131" s="51"/>
      <c r="B131" s="11" t="str">
        <f aca="false">IF(A131="","",INT((A131-'Start here'!$C$5)/7)+1)</f>
        <v/>
      </c>
      <c r="C131" s="20"/>
      <c r="D131" s="20"/>
      <c r="E131" s="20"/>
      <c r="F131" s="11" t="str">
        <f aca="false">IF(COUNT(C131:E131)&lt;3,"",SUM(C131:E131))</f>
        <v/>
      </c>
      <c r="G131" s="12" t="str">
        <f aca="false">IF(F131="","",IF(F131&lt;=6,"Technique and mobility only",IF(F131&lt;=8,"Main lift top set only; −1 set on every accessory; RPE cap 7","Train as planned")))</f>
        <v/>
      </c>
      <c r="H131" s="20"/>
      <c r="I131" s="20"/>
      <c r="J131" s="54"/>
      <c r="K131" s="12" t="str">
        <f aca="false">IF(I131="","",IF(I131&gt;=5,"Drop that pattern this week",IF(I131&gt;=3,"Swap that exercise","OK")))</f>
        <v/>
      </c>
      <c r="L131" s="20"/>
    </row>
    <row r="132" customFormat="false" ht="15" hidden="false" customHeight="false" outlineLevel="0" collapsed="false">
      <c r="A132" s="51"/>
      <c r="B132" s="11" t="str">
        <f aca="false">IF(A132="","",INT((A132-'Start here'!$C$5)/7)+1)</f>
        <v/>
      </c>
      <c r="C132" s="20"/>
      <c r="D132" s="20"/>
      <c r="E132" s="20"/>
      <c r="F132" s="11" t="str">
        <f aca="false">IF(COUNT(C132:E132)&lt;3,"",SUM(C132:E132))</f>
        <v/>
      </c>
      <c r="G132" s="12" t="str">
        <f aca="false">IF(F132="","",IF(F132&lt;=6,"Technique and mobility only",IF(F132&lt;=8,"Main lift top set only; −1 set on every accessory; RPE cap 7","Train as planned")))</f>
        <v/>
      </c>
      <c r="H132" s="20"/>
      <c r="I132" s="20"/>
      <c r="J132" s="54"/>
      <c r="K132" s="12" t="str">
        <f aca="false">IF(I132="","",IF(I132&gt;=5,"Drop that pattern this week",IF(I132&gt;=3,"Swap that exercise","OK")))</f>
        <v/>
      </c>
      <c r="L132" s="20"/>
    </row>
    <row r="133" customFormat="false" ht="15" hidden="false" customHeight="false" outlineLevel="0" collapsed="false">
      <c r="A133" s="51"/>
      <c r="B133" s="11" t="str">
        <f aca="false">IF(A133="","",INT((A133-'Start here'!$C$5)/7)+1)</f>
        <v/>
      </c>
      <c r="C133" s="20"/>
      <c r="D133" s="20"/>
      <c r="E133" s="20"/>
      <c r="F133" s="11" t="str">
        <f aca="false">IF(COUNT(C133:E133)&lt;3,"",SUM(C133:E133))</f>
        <v/>
      </c>
      <c r="G133" s="12" t="str">
        <f aca="false">IF(F133="","",IF(F133&lt;=6,"Technique and mobility only",IF(F133&lt;=8,"Main lift top set only; −1 set on every accessory; RPE cap 7","Train as planned")))</f>
        <v/>
      </c>
      <c r="H133" s="20"/>
      <c r="I133" s="20"/>
      <c r="J133" s="54"/>
      <c r="K133" s="12" t="str">
        <f aca="false">IF(I133="","",IF(I133&gt;=5,"Drop that pattern this week",IF(I133&gt;=3,"Swap that exercise","OK")))</f>
        <v/>
      </c>
      <c r="L133" s="20"/>
    </row>
    <row r="134" customFormat="false" ht="15" hidden="false" customHeight="false" outlineLevel="0" collapsed="false">
      <c r="A134" s="51"/>
      <c r="B134" s="11" t="str">
        <f aca="false">IF(A134="","",INT((A134-'Start here'!$C$5)/7)+1)</f>
        <v/>
      </c>
      <c r="C134" s="20"/>
      <c r="D134" s="20"/>
      <c r="E134" s="20"/>
      <c r="F134" s="11" t="str">
        <f aca="false">IF(COUNT(C134:E134)&lt;3,"",SUM(C134:E134))</f>
        <v/>
      </c>
      <c r="G134" s="12" t="str">
        <f aca="false">IF(F134="","",IF(F134&lt;=6,"Technique and mobility only",IF(F134&lt;=8,"Main lift top set only; −1 set on every accessory; RPE cap 7","Train as planned")))</f>
        <v/>
      </c>
      <c r="H134" s="20"/>
      <c r="I134" s="20"/>
      <c r="J134" s="54"/>
      <c r="K134" s="12" t="str">
        <f aca="false">IF(I134="","",IF(I134&gt;=5,"Drop that pattern this week",IF(I134&gt;=3,"Swap that exercise","OK")))</f>
        <v/>
      </c>
      <c r="L134" s="20"/>
    </row>
    <row r="135" customFormat="false" ht="15" hidden="false" customHeight="false" outlineLevel="0" collapsed="false">
      <c r="A135" s="51"/>
      <c r="B135" s="11" t="str">
        <f aca="false">IF(A135="","",INT((A135-'Start here'!$C$5)/7)+1)</f>
        <v/>
      </c>
      <c r="C135" s="20"/>
      <c r="D135" s="20"/>
      <c r="E135" s="20"/>
      <c r="F135" s="11" t="str">
        <f aca="false">IF(COUNT(C135:E135)&lt;3,"",SUM(C135:E135))</f>
        <v/>
      </c>
      <c r="G135" s="12" t="str">
        <f aca="false">IF(F135="","",IF(F135&lt;=6,"Technique and mobility only",IF(F135&lt;=8,"Main lift top set only; −1 set on every accessory; RPE cap 7","Train as planned")))</f>
        <v/>
      </c>
      <c r="H135" s="20"/>
      <c r="I135" s="20"/>
      <c r="J135" s="54"/>
      <c r="K135" s="12" t="str">
        <f aca="false">IF(I135="","",IF(I135&gt;=5,"Drop that pattern this week",IF(I135&gt;=3,"Swap that exercise","OK")))</f>
        <v/>
      </c>
      <c r="L135" s="20"/>
    </row>
    <row r="136" customFormat="false" ht="15" hidden="false" customHeight="false" outlineLevel="0" collapsed="false">
      <c r="A136" s="51"/>
      <c r="B136" s="11" t="str">
        <f aca="false">IF(A136="","",INT((A136-'Start here'!$C$5)/7)+1)</f>
        <v/>
      </c>
      <c r="C136" s="20"/>
      <c r="D136" s="20"/>
      <c r="E136" s="20"/>
      <c r="F136" s="11" t="str">
        <f aca="false">IF(COUNT(C136:E136)&lt;3,"",SUM(C136:E136))</f>
        <v/>
      </c>
      <c r="G136" s="12" t="str">
        <f aca="false">IF(F136="","",IF(F136&lt;=6,"Technique and mobility only",IF(F136&lt;=8,"Main lift top set only; −1 set on every accessory; RPE cap 7","Train as planned")))</f>
        <v/>
      </c>
      <c r="H136" s="20"/>
      <c r="I136" s="20"/>
      <c r="J136" s="54"/>
      <c r="K136" s="12" t="str">
        <f aca="false">IF(I136="","",IF(I136&gt;=5,"Drop that pattern this week",IF(I136&gt;=3,"Swap that exercise","OK")))</f>
        <v/>
      </c>
      <c r="L136" s="20"/>
    </row>
    <row r="137" customFormat="false" ht="15" hidden="false" customHeight="false" outlineLevel="0" collapsed="false">
      <c r="A137" s="51"/>
      <c r="B137" s="11" t="str">
        <f aca="false">IF(A137="","",INT((A137-'Start here'!$C$5)/7)+1)</f>
        <v/>
      </c>
      <c r="C137" s="20"/>
      <c r="D137" s="20"/>
      <c r="E137" s="20"/>
      <c r="F137" s="11" t="str">
        <f aca="false">IF(COUNT(C137:E137)&lt;3,"",SUM(C137:E137))</f>
        <v/>
      </c>
      <c r="G137" s="12" t="str">
        <f aca="false">IF(F137="","",IF(F137&lt;=6,"Technique and mobility only",IF(F137&lt;=8,"Main lift top set only; −1 set on every accessory; RPE cap 7","Train as planned")))</f>
        <v/>
      </c>
      <c r="H137" s="20"/>
      <c r="I137" s="20"/>
      <c r="J137" s="54"/>
      <c r="K137" s="12" t="str">
        <f aca="false">IF(I137="","",IF(I137&gt;=5,"Drop that pattern this week",IF(I137&gt;=3,"Swap that exercise","OK")))</f>
        <v/>
      </c>
      <c r="L137" s="20"/>
    </row>
    <row r="138" customFormat="false" ht="15" hidden="false" customHeight="false" outlineLevel="0" collapsed="false">
      <c r="A138" s="51"/>
      <c r="B138" s="11" t="str">
        <f aca="false">IF(A138="","",INT((A138-'Start here'!$C$5)/7)+1)</f>
        <v/>
      </c>
      <c r="C138" s="20"/>
      <c r="D138" s="20"/>
      <c r="E138" s="20"/>
      <c r="F138" s="11" t="str">
        <f aca="false">IF(COUNT(C138:E138)&lt;3,"",SUM(C138:E138))</f>
        <v/>
      </c>
      <c r="G138" s="12" t="str">
        <f aca="false">IF(F138="","",IF(F138&lt;=6,"Technique and mobility only",IF(F138&lt;=8,"Main lift top set only; −1 set on every accessory; RPE cap 7","Train as planned")))</f>
        <v/>
      </c>
      <c r="H138" s="20"/>
      <c r="I138" s="20"/>
      <c r="J138" s="54"/>
      <c r="K138" s="12" t="str">
        <f aca="false">IF(I138="","",IF(I138&gt;=5,"Drop that pattern this week",IF(I138&gt;=3,"Swap that exercise","OK")))</f>
        <v/>
      </c>
      <c r="L138" s="20"/>
    </row>
    <row r="139" customFormat="false" ht="15" hidden="false" customHeight="false" outlineLevel="0" collapsed="false">
      <c r="A139" s="51"/>
      <c r="B139" s="11" t="str">
        <f aca="false">IF(A139="","",INT((A139-'Start here'!$C$5)/7)+1)</f>
        <v/>
      </c>
      <c r="C139" s="20"/>
      <c r="D139" s="20"/>
      <c r="E139" s="20"/>
      <c r="F139" s="11" t="str">
        <f aca="false">IF(COUNT(C139:E139)&lt;3,"",SUM(C139:E139))</f>
        <v/>
      </c>
      <c r="G139" s="12" t="str">
        <f aca="false">IF(F139="","",IF(F139&lt;=6,"Technique and mobility only",IF(F139&lt;=8,"Main lift top set only; −1 set on every accessory; RPE cap 7","Train as planned")))</f>
        <v/>
      </c>
      <c r="H139" s="20"/>
      <c r="I139" s="20"/>
      <c r="J139" s="54"/>
      <c r="K139" s="12" t="str">
        <f aca="false">IF(I139="","",IF(I139&gt;=5,"Drop that pattern this week",IF(I139&gt;=3,"Swap that exercise","OK")))</f>
        <v/>
      </c>
      <c r="L139" s="20"/>
    </row>
    <row r="140" customFormat="false" ht="15" hidden="false" customHeight="false" outlineLevel="0" collapsed="false">
      <c r="A140" s="51"/>
      <c r="B140" s="11" t="str">
        <f aca="false">IF(A140="","",INT((A140-'Start here'!$C$5)/7)+1)</f>
        <v/>
      </c>
      <c r="C140" s="20"/>
      <c r="D140" s="20"/>
      <c r="E140" s="20"/>
      <c r="F140" s="11" t="str">
        <f aca="false">IF(COUNT(C140:E140)&lt;3,"",SUM(C140:E140))</f>
        <v/>
      </c>
      <c r="G140" s="12" t="str">
        <f aca="false">IF(F140="","",IF(F140&lt;=6,"Technique and mobility only",IF(F140&lt;=8,"Main lift top set only; −1 set on every accessory; RPE cap 7","Train as planned")))</f>
        <v/>
      </c>
      <c r="H140" s="20"/>
      <c r="I140" s="20"/>
      <c r="J140" s="54"/>
      <c r="K140" s="12" t="str">
        <f aca="false">IF(I140="","",IF(I140&gt;=5,"Drop that pattern this week",IF(I140&gt;=3,"Swap that exercise","OK")))</f>
        <v/>
      </c>
      <c r="L140" s="20"/>
    </row>
    <row r="141" customFormat="false" ht="15" hidden="false" customHeight="false" outlineLevel="0" collapsed="false">
      <c r="A141" s="51"/>
      <c r="B141" s="11" t="str">
        <f aca="false">IF(A141="","",INT((A141-'Start here'!$C$5)/7)+1)</f>
        <v/>
      </c>
      <c r="C141" s="20"/>
      <c r="D141" s="20"/>
      <c r="E141" s="20"/>
      <c r="F141" s="11" t="str">
        <f aca="false">IF(COUNT(C141:E141)&lt;3,"",SUM(C141:E141))</f>
        <v/>
      </c>
      <c r="G141" s="12" t="str">
        <f aca="false">IF(F141="","",IF(F141&lt;=6,"Technique and mobility only",IF(F141&lt;=8,"Main lift top set only; −1 set on every accessory; RPE cap 7","Train as planned")))</f>
        <v/>
      </c>
      <c r="H141" s="20"/>
      <c r="I141" s="20"/>
      <c r="J141" s="54"/>
      <c r="K141" s="12" t="str">
        <f aca="false">IF(I141="","",IF(I141&gt;=5,"Drop that pattern this week",IF(I141&gt;=3,"Swap that exercise","OK")))</f>
        <v/>
      </c>
      <c r="L141" s="20"/>
    </row>
    <row r="142" customFormat="false" ht="15" hidden="false" customHeight="false" outlineLevel="0" collapsed="false">
      <c r="A142" s="51"/>
      <c r="B142" s="11" t="str">
        <f aca="false">IF(A142="","",INT((A142-'Start here'!$C$5)/7)+1)</f>
        <v/>
      </c>
      <c r="C142" s="20"/>
      <c r="D142" s="20"/>
      <c r="E142" s="20"/>
      <c r="F142" s="11" t="str">
        <f aca="false">IF(COUNT(C142:E142)&lt;3,"",SUM(C142:E142))</f>
        <v/>
      </c>
      <c r="G142" s="12" t="str">
        <f aca="false">IF(F142="","",IF(F142&lt;=6,"Technique and mobility only",IF(F142&lt;=8,"Main lift top set only; −1 set on every accessory; RPE cap 7","Train as planned")))</f>
        <v/>
      </c>
      <c r="H142" s="20"/>
      <c r="I142" s="20"/>
      <c r="J142" s="54"/>
      <c r="K142" s="12" t="str">
        <f aca="false">IF(I142="","",IF(I142&gt;=5,"Drop that pattern this week",IF(I142&gt;=3,"Swap that exercise","OK")))</f>
        <v/>
      </c>
      <c r="L142" s="20"/>
    </row>
    <row r="143" customFormat="false" ht="15" hidden="false" customHeight="false" outlineLevel="0" collapsed="false">
      <c r="A143" s="51"/>
      <c r="B143" s="11" t="str">
        <f aca="false">IF(A143="","",INT((A143-'Start here'!$C$5)/7)+1)</f>
        <v/>
      </c>
      <c r="C143" s="20"/>
      <c r="D143" s="20"/>
      <c r="E143" s="20"/>
      <c r="F143" s="11" t="str">
        <f aca="false">IF(COUNT(C143:E143)&lt;3,"",SUM(C143:E143))</f>
        <v/>
      </c>
      <c r="G143" s="12" t="str">
        <f aca="false">IF(F143="","",IF(F143&lt;=6,"Technique and mobility only",IF(F143&lt;=8,"Main lift top set only; −1 set on every accessory; RPE cap 7","Train as planned")))</f>
        <v/>
      </c>
      <c r="H143" s="20"/>
      <c r="I143" s="20"/>
      <c r="J143" s="54"/>
      <c r="K143" s="12" t="str">
        <f aca="false">IF(I143="","",IF(I143&gt;=5,"Drop that pattern this week",IF(I143&gt;=3,"Swap that exercise","OK")))</f>
        <v/>
      </c>
      <c r="L143" s="20"/>
    </row>
    <row r="144" customFormat="false" ht="15" hidden="false" customHeight="false" outlineLevel="0" collapsed="false">
      <c r="A144" s="51"/>
      <c r="B144" s="11" t="str">
        <f aca="false">IF(A144="","",INT((A144-'Start here'!$C$5)/7)+1)</f>
        <v/>
      </c>
      <c r="C144" s="20"/>
      <c r="D144" s="20"/>
      <c r="E144" s="20"/>
      <c r="F144" s="11" t="str">
        <f aca="false">IF(COUNT(C144:E144)&lt;3,"",SUM(C144:E144))</f>
        <v/>
      </c>
      <c r="G144" s="12" t="str">
        <f aca="false">IF(F144="","",IF(F144&lt;=6,"Technique and mobility only",IF(F144&lt;=8,"Main lift top set only; −1 set on every accessory; RPE cap 7","Train as planned")))</f>
        <v/>
      </c>
      <c r="H144" s="20"/>
      <c r="I144" s="20"/>
      <c r="J144" s="54"/>
      <c r="K144" s="12" t="str">
        <f aca="false">IF(I144="","",IF(I144&gt;=5,"Drop that pattern this week",IF(I144&gt;=3,"Swap that exercise","OK")))</f>
        <v/>
      </c>
      <c r="L144" s="20"/>
    </row>
    <row r="145" customFormat="false" ht="15" hidden="false" customHeight="false" outlineLevel="0" collapsed="false">
      <c r="A145" s="51"/>
      <c r="B145" s="11" t="str">
        <f aca="false">IF(A145="","",INT((A145-'Start here'!$C$5)/7)+1)</f>
        <v/>
      </c>
      <c r="C145" s="20"/>
      <c r="D145" s="20"/>
      <c r="E145" s="20"/>
      <c r="F145" s="11" t="str">
        <f aca="false">IF(COUNT(C145:E145)&lt;3,"",SUM(C145:E145))</f>
        <v/>
      </c>
      <c r="G145" s="12" t="str">
        <f aca="false">IF(F145="","",IF(F145&lt;=6,"Technique and mobility only",IF(F145&lt;=8,"Main lift top set only; −1 set on every accessory; RPE cap 7","Train as planned")))</f>
        <v/>
      </c>
      <c r="H145" s="20"/>
      <c r="I145" s="20"/>
      <c r="J145" s="54"/>
      <c r="K145" s="12" t="str">
        <f aca="false">IF(I145="","",IF(I145&gt;=5,"Drop that pattern this week",IF(I145&gt;=3,"Swap that exercise","OK")))</f>
        <v/>
      </c>
      <c r="L145" s="20"/>
    </row>
    <row r="146" customFormat="false" ht="15" hidden="false" customHeight="false" outlineLevel="0" collapsed="false">
      <c r="A146" s="51"/>
      <c r="B146" s="11" t="str">
        <f aca="false">IF(A146="","",INT((A146-'Start here'!$C$5)/7)+1)</f>
        <v/>
      </c>
      <c r="C146" s="20"/>
      <c r="D146" s="20"/>
      <c r="E146" s="20"/>
      <c r="F146" s="11" t="str">
        <f aca="false">IF(COUNT(C146:E146)&lt;3,"",SUM(C146:E146))</f>
        <v/>
      </c>
      <c r="G146" s="12" t="str">
        <f aca="false">IF(F146="","",IF(F146&lt;=6,"Technique and mobility only",IF(F146&lt;=8,"Main lift top set only; −1 set on every accessory; RPE cap 7","Train as planned")))</f>
        <v/>
      </c>
      <c r="H146" s="20"/>
      <c r="I146" s="20"/>
      <c r="J146" s="54"/>
      <c r="K146" s="12" t="str">
        <f aca="false">IF(I146="","",IF(I146&gt;=5,"Drop that pattern this week",IF(I146&gt;=3,"Swap that exercise","OK")))</f>
        <v/>
      </c>
      <c r="L146" s="20"/>
    </row>
    <row r="147" customFormat="false" ht="15" hidden="false" customHeight="false" outlineLevel="0" collapsed="false">
      <c r="A147" s="51"/>
      <c r="B147" s="11" t="str">
        <f aca="false">IF(A147="","",INT((A147-'Start here'!$C$5)/7)+1)</f>
        <v/>
      </c>
      <c r="C147" s="20"/>
      <c r="D147" s="20"/>
      <c r="E147" s="20"/>
      <c r="F147" s="11" t="str">
        <f aca="false">IF(COUNT(C147:E147)&lt;3,"",SUM(C147:E147))</f>
        <v/>
      </c>
      <c r="G147" s="12" t="str">
        <f aca="false">IF(F147="","",IF(F147&lt;=6,"Technique and mobility only",IF(F147&lt;=8,"Main lift top set only; −1 set on every accessory; RPE cap 7","Train as planned")))</f>
        <v/>
      </c>
      <c r="H147" s="20"/>
      <c r="I147" s="20"/>
      <c r="J147" s="54"/>
      <c r="K147" s="12" t="str">
        <f aca="false">IF(I147="","",IF(I147&gt;=5,"Drop that pattern this week",IF(I147&gt;=3,"Swap that exercise","OK")))</f>
        <v/>
      </c>
      <c r="L147" s="20"/>
    </row>
    <row r="148" customFormat="false" ht="15" hidden="false" customHeight="false" outlineLevel="0" collapsed="false">
      <c r="A148" s="51"/>
      <c r="B148" s="11" t="str">
        <f aca="false">IF(A148="","",INT((A148-'Start here'!$C$5)/7)+1)</f>
        <v/>
      </c>
      <c r="C148" s="20"/>
      <c r="D148" s="20"/>
      <c r="E148" s="20"/>
      <c r="F148" s="11" t="str">
        <f aca="false">IF(COUNT(C148:E148)&lt;3,"",SUM(C148:E148))</f>
        <v/>
      </c>
      <c r="G148" s="12" t="str">
        <f aca="false">IF(F148="","",IF(F148&lt;=6,"Technique and mobility only",IF(F148&lt;=8,"Main lift top set only; −1 set on every accessory; RPE cap 7","Train as planned")))</f>
        <v/>
      </c>
      <c r="H148" s="20"/>
      <c r="I148" s="20"/>
      <c r="J148" s="54"/>
      <c r="K148" s="12" t="str">
        <f aca="false">IF(I148="","",IF(I148&gt;=5,"Drop that pattern this week",IF(I148&gt;=3,"Swap that exercise","OK")))</f>
        <v/>
      </c>
      <c r="L148" s="20"/>
    </row>
    <row r="149" customFormat="false" ht="15" hidden="false" customHeight="false" outlineLevel="0" collapsed="false">
      <c r="A149" s="51"/>
      <c r="B149" s="11" t="str">
        <f aca="false">IF(A149="","",INT((A149-'Start here'!$C$5)/7)+1)</f>
        <v/>
      </c>
      <c r="C149" s="20"/>
      <c r="D149" s="20"/>
      <c r="E149" s="20"/>
      <c r="F149" s="11" t="str">
        <f aca="false">IF(COUNT(C149:E149)&lt;3,"",SUM(C149:E149))</f>
        <v/>
      </c>
      <c r="G149" s="12" t="str">
        <f aca="false">IF(F149="","",IF(F149&lt;=6,"Technique and mobility only",IF(F149&lt;=8,"Main lift top set only; −1 set on every accessory; RPE cap 7","Train as planned")))</f>
        <v/>
      </c>
      <c r="H149" s="20"/>
      <c r="I149" s="20"/>
      <c r="J149" s="54"/>
      <c r="K149" s="12" t="str">
        <f aca="false">IF(I149="","",IF(I149&gt;=5,"Drop that pattern this week",IF(I149&gt;=3,"Swap that exercise","OK")))</f>
        <v/>
      </c>
      <c r="L149" s="20"/>
    </row>
    <row r="150" customFormat="false" ht="15" hidden="false" customHeight="false" outlineLevel="0" collapsed="false">
      <c r="A150" s="51"/>
      <c r="B150" s="11" t="str">
        <f aca="false">IF(A150="","",INT((A150-'Start here'!$C$5)/7)+1)</f>
        <v/>
      </c>
      <c r="C150" s="20"/>
      <c r="D150" s="20"/>
      <c r="E150" s="20"/>
      <c r="F150" s="11" t="str">
        <f aca="false">IF(COUNT(C150:E150)&lt;3,"",SUM(C150:E150))</f>
        <v/>
      </c>
      <c r="G150" s="12" t="str">
        <f aca="false">IF(F150="","",IF(F150&lt;=6,"Technique and mobility only",IF(F150&lt;=8,"Main lift top set only; −1 set on every accessory; RPE cap 7","Train as planned")))</f>
        <v/>
      </c>
      <c r="H150" s="20"/>
      <c r="I150" s="20"/>
      <c r="J150" s="54"/>
      <c r="K150" s="12" t="str">
        <f aca="false">IF(I150="","",IF(I150&gt;=5,"Drop that pattern this week",IF(I150&gt;=3,"Swap that exercise","OK")))</f>
        <v/>
      </c>
      <c r="L150" s="20"/>
    </row>
    <row r="151" customFormat="false" ht="15" hidden="false" customHeight="false" outlineLevel="0" collapsed="false">
      <c r="A151" s="51"/>
      <c r="B151" s="11" t="str">
        <f aca="false">IF(A151="","",INT((A151-'Start here'!$C$5)/7)+1)</f>
        <v/>
      </c>
      <c r="C151" s="20"/>
      <c r="D151" s="20"/>
      <c r="E151" s="20"/>
      <c r="F151" s="11" t="str">
        <f aca="false">IF(COUNT(C151:E151)&lt;3,"",SUM(C151:E151))</f>
        <v/>
      </c>
      <c r="G151" s="12" t="str">
        <f aca="false">IF(F151="","",IF(F151&lt;=6,"Technique and mobility only",IF(F151&lt;=8,"Main lift top set only; −1 set on every accessory; RPE cap 7","Train as planned")))</f>
        <v/>
      </c>
      <c r="H151" s="20"/>
      <c r="I151" s="20"/>
      <c r="J151" s="54"/>
      <c r="K151" s="12" t="str">
        <f aca="false">IF(I151="","",IF(I151&gt;=5,"Drop that pattern this week",IF(I151&gt;=3,"Swap that exercise","OK")))</f>
        <v/>
      </c>
      <c r="L151" s="20"/>
    </row>
    <row r="152" customFormat="false" ht="15" hidden="false" customHeight="false" outlineLevel="0" collapsed="false">
      <c r="A152" s="51"/>
      <c r="B152" s="11" t="str">
        <f aca="false">IF(A152="","",INT((A152-'Start here'!$C$5)/7)+1)</f>
        <v/>
      </c>
      <c r="C152" s="20"/>
      <c r="D152" s="20"/>
      <c r="E152" s="20"/>
      <c r="F152" s="11" t="str">
        <f aca="false">IF(COUNT(C152:E152)&lt;3,"",SUM(C152:E152))</f>
        <v/>
      </c>
      <c r="G152" s="12" t="str">
        <f aca="false">IF(F152="","",IF(F152&lt;=6,"Technique and mobility only",IF(F152&lt;=8,"Main lift top set only; −1 set on every accessory; RPE cap 7","Train as planned")))</f>
        <v/>
      </c>
      <c r="H152" s="20"/>
      <c r="I152" s="20"/>
      <c r="J152" s="54"/>
      <c r="K152" s="12" t="str">
        <f aca="false">IF(I152="","",IF(I152&gt;=5,"Drop that pattern this week",IF(I152&gt;=3,"Swap that exercise","OK")))</f>
        <v/>
      </c>
      <c r="L152" s="20"/>
    </row>
    <row r="153" customFormat="false" ht="15" hidden="false" customHeight="false" outlineLevel="0" collapsed="false">
      <c r="A153" s="51"/>
      <c r="B153" s="11" t="str">
        <f aca="false">IF(A153="","",INT((A153-'Start here'!$C$5)/7)+1)</f>
        <v/>
      </c>
      <c r="C153" s="20"/>
      <c r="D153" s="20"/>
      <c r="E153" s="20"/>
      <c r="F153" s="11" t="str">
        <f aca="false">IF(COUNT(C153:E153)&lt;3,"",SUM(C153:E153))</f>
        <v/>
      </c>
      <c r="G153" s="12" t="str">
        <f aca="false">IF(F153="","",IF(F153&lt;=6,"Technique and mobility only",IF(F153&lt;=8,"Main lift top set only; −1 set on every accessory; RPE cap 7","Train as planned")))</f>
        <v/>
      </c>
      <c r="H153" s="20"/>
      <c r="I153" s="20"/>
      <c r="J153" s="54"/>
      <c r="K153" s="12" t="str">
        <f aca="false">IF(I153="","",IF(I153&gt;=5,"Drop that pattern this week",IF(I153&gt;=3,"Swap that exercise","OK")))</f>
        <v/>
      </c>
      <c r="L153" s="20"/>
    </row>
    <row r="154" customFormat="false" ht="15" hidden="false" customHeight="false" outlineLevel="0" collapsed="false">
      <c r="A154" s="51"/>
      <c r="B154" s="11" t="str">
        <f aca="false">IF(A154="","",INT((A154-'Start here'!$C$5)/7)+1)</f>
        <v/>
      </c>
      <c r="C154" s="20"/>
      <c r="D154" s="20"/>
      <c r="E154" s="20"/>
      <c r="F154" s="11" t="str">
        <f aca="false">IF(COUNT(C154:E154)&lt;3,"",SUM(C154:E154))</f>
        <v/>
      </c>
      <c r="G154" s="12" t="str">
        <f aca="false">IF(F154="","",IF(F154&lt;=6,"Technique and mobility only",IF(F154&lt;=8,"Main lift top set only; −1 set on every accessory; RPE cap 7","Train as planned")))</f>
        <v/>
      </c>
      <c r="H154" s="20"/>
      <c r="I154" s="20"/>
      <c r="J154" s="54"/>
      <c r="K154" s="12" t="str">
        <f aca="false">IF(I154="","",IF(I154&gt;=5,"Drop that pattern this week",IF(I154&gt;=3,"Swap that exercise","OK")))</f>
        <v/>
      </c>
      <c r="L154" s="20"/>
    </row>
    <row r="155" customFormat="false" ht="15" hidden="false" customHeight="false" outlineLevel="0" collapsed="false">
      <c r="A155" s="51"/>
      <c r="B155" s="11" t="str">
        <f aca="false">IF(A155="","",INT((A155-'Start here'!$C$5)/7)+1)</f>
        <v/>
      </c>
      <c r="C155" s="20"/>
      <c r="D155" s="20"/>
      <c r="E155" s="20"/>
      <c r="F155" s="11" t="str">
        <f aca="false">IF(COUNT(C155:E155)&lt;3,"",SUM(C155:E155))</f>
        <v/>
      </c>
      <c r="G155" s="12" t="str">
        <f aca="false">IF(F155="","",IF(F155&lt;=6,"Technique and mobility only",IF(F155&lt;=8,"Main lift top set only; −1 set on every accessory; RPE cap 7","Train as planned")))</f>
        <v/>
      </c>
      <c r="H155" s="20"/>
      <c r="I155" s="20"/>
      <c r="J155" s="54"/>
      <c r="K155" s="12" t="str">
        <f aca="false">IF(I155="","",IF(I155&gt;=5,"Drop that pattern this week",IF(I155&gt;=3,"Swap that exercise","OK")))</f>
        <v/>
      </c>
      <c r="L155" s="20"/>
    </row>
    <row r="156" customFormat="false" ht="15" hidden="false" customHeight="false" outlineLevel="0" collapsed="false">
      <c r="A156" s="51"/>
      <c r="B156" s="11" t="str">
        <f aca="false">IF(A156="","",INT((A156-'Start here'!$C$5)/7)+1)</f>
        <v/>
      </c>
      <c r="C156" s="20"/>
      <c r="D156" s="20"/>
      <c r="E156" s="20"/>
      <c r="F156" s="11" t="str">
        <f aca="false">IF(COUNT(C156:E156)&lt;3,"",SUM(C156:E156))</f>
        <v/>
      </c>
      <c r="G156" s="12" t="str">
        <f aca="false">IF(F156="","",IF(F156&lt;=6,"Technique and mobility only",IF(F156&lt;=8,"Main lift top set only; −1 set on every accessory; RPE cap 7","Train as planned")))</f>
        <v/>
      </c>
      <c r="H156" s="20"/>
      <c r="I156" s="20"/>
      <c r="J156" s="54"/>
      <c r="K156" s="12" t="str">
        <f aca="false">IF(I156="","",IF(I156&gt;=5,"Drop that pattern this week",IF(I156&gt;=3,"Swap that exercise","OK")))</f>
        <v/>
      </c>
      <c r="L156" s="20"/>
    </row>
    <row r="157" customFormat="false" ht="15" hidden="false" customHeight="false" outlineLevel="0" collapsed="false">
      <c r="A157" s="51"/>
      <c r="B157" s="11" t="str">
        <f aca="false">IF(A157="","",INT((A157-'Start here'!$C$5)/7)+1)</f>
        <v/>
      </c>
      <c r="C157" s="20"/>
      <c r="D157" s="20"/>
      <c r="E157" s="20"/>
      <c r="F157" s="11" t="str">
        <f aca="false">IF(COUNT(C157:E157)&lt;3,"",SUM(C157:E157))</f>
        <v/>
      </c>
      <c r="G157" s="12" t="str">
        <f aca="false">IF(F157="","",IF(F157&lt;=6,"Technique and mobility only",IF(F157&lt;=8,"Main lift top set only; −1 set on every accessory; RPE cap 7","Train as planned")))</f>
        <v/>
      </c>
      <c r="H157" s="20"/>
      <c r="I157" s="20"/>
      <c r="J157" s="54"/>
      <c r="K157" s="12" t="str">
        <f aca="false">IF(I157="","",IF(I157&gt;=5,"Drop that pattern this week",IF(I157&gt;=3,"Swap that exercise","OK")))</f>
        <v/>
      </c>
      <c r="L157" s="20"/>
    </row>
    <row r="158" customFormat="false" ht="15" hidden="false" customHeight="false" outlineLevel="0" collapsed="false">
      <c r="A158" s="51"/>
      <c r="B158" s="11" t="str">
        <f aca="false">IF(A158="","",INT((A158-'Start here'!$C$5)/7)+1)</f>
        <v/>
      </c>
      <c r="C158" s="20"/>
      <c r="D158" s="20"/>
      <c r="E158" s="20"/>
      <c r="F158" s="11" t="str">
        <f aca="false">IF(COUNT(C158:E158)&lt;3,"",SUM(C158:E158))</f>
        <v/>
      </c>
      <c r="G158" s="12" t="str">
        <f aca="false">IF(F158="","",IF(F158&lt;=6,"Technique and mobility only",IF(F158&lt;=8,"Main lift top set only; −1 set on every accessory; RPE cap 7","Train as planned")))</f>
        <v/>
      </c>
      <c r="H158" s="20"/>
      <c r="I158" s="20"/>
      <c r="J158" s="54"/>
      <c r="K158" s="12" t="str">
        <f aca="false">IF(I158="","",IF(I158&gt;=5,"Drop that pattern this week",IF(I158&gt;=3,"Swap that exercise","OK")))</f>
        <v/>
      </c>
      <c r="L158" s="20"/>
    </row>
    <row r="159" customFormat="false" ht="15" hidden="false" customHeight="false" outlineLevel="0" collapsed="false">
      <c r="A159" s="51"/>
      <c r="B159" s="11" t="str">
        <f aca="false">IF(A159="","",INT((A159-'Start here'!$C$5)/7)+1)</f>
        <v/>
      </c>
      <c r="C159" s="20"/>
      <c r="D159" s="20"/>
      <c r="E159" s="20"/>
      <c r="F159" s="11" t="str">
        <f aca="false">IF(COUNT(C159:E159)&lt;3,"",SUM(C159:E159))</f>
        <v/>
      </c>
      <c r="G159" s="12" t="str">
        <f aca="false">IF(F159="","",IF(F159&lt;=6,"Technique and mobility only",IF(F159&lt;=8,"Main lift top set only; −1 set on every accessory; RPE cap 7","Train as planned")))</f>
        <v/>
      </c>
      <c r="H159" s="20"/>
      <c r="I159" s="20"/>
      <c r="J159" s="54"/>
      <c r="K159" s="12" t="str">
        <f aca="false">IF(I159="","",IF(I159&gt;=5,"Drop that pattern this week",IF(I159&gt;=3,"Swap that exercise","OK")))</f>
        <v/>
      </c>
      <c r="L159" s="20"/>
    </row>
    <row r="160" customFormat="false" ht="15" hidden="false" customHeight="false" outlineLevel="0" collapsed="false">
      <c r="A160" s="51"/>
      <c r="B160" s="11" t="str">
        <f aca="false">IF(A160="","",INT((A160-'Start here'!$C$5)/7)+1)</f>
        <v/>
      </c>
      <c r="C160" s="20"/>
      <c r="D160" s="20"/>
      <c r="E160" s="20"/>
      <c r="F160" s="11" t="str">
        <f aca="false">IF(COUNT(C160:E160)&lt;3,"",SUM(C160:E160))</f>
        <v/>
      </c>
      <c r="G160" s="12" t="str">
        <f aca="false">IF(F160="","",IF(F160&lt;=6,"Technique and mobility only",IF(F160&lt;=8,"Main lift top set only; −1 set on every accessory; RPE cap 7","Train as planned")))</f>
        <v/>
      </c>
      <c r="H160" s="20"/>
      <c r="I160" s="20"/>
      <c r="J160" s="54"/>
      <c r="K160" s="12" t="str">
        <f aca="false">IF(I160="","",IF(I160&gt;=5,"Drop that pattern this week",IF(I160&gt;=3,"Swap that exercise","OK")))</f>
        <v/>
      </c>
      <c r="L160" s="20"/>
    </row>
    <row r="161" customFormat="false" ht="15" hidden="false" customHeight="false" outlineLevel="0" collapsed="false">
      <c r="A161" s="51"/>
      <c r="B161" s="11" t="str">
        <f aca="false">IF(A161="","",INT((A161-'Start here'!$C$5)/7)+1)</f>
        <v/>
      </c>
      <c r="C161" s="20"/>
      <c r="D161" s="20"/>
      <c r="E161" s="20"/>
      <c r="F161" s="11" t="str">
        <f aca="false">IF(COUNT(C161:E161)&lt;3,"",SUM(C161:E161))</f>
        <v/>
      </c>
      <c r="G161" s="12" t="str">
        <f aca="false">IF(F161="","",IF(F161&lt;=6,"Technique and mobility only",IF(F161&lt;=8,"Main lift top set only; −1 set on every accessory; RPE cap 7","Train as planned")))</f>
        <v/>
      </c>
      <c r="H161" s="20"/>
      <c r="I161" s="20"/>
      <c r="J161" s="54"/>
      <c r="K161" s="12" t="str">
        <f aca="false">IF(I161="","",IF(I161&gt;=5,"Drop that pattern this week",IF(I161&gt;=3,"Swap that exercise","OK")))</f>
        <v/>
      </c>
      <c r="L161" s="20"/>
    </row>
    <row r="162" customFormat="false" ht="15" hidden="false" customHeight="false" outlineLevel="0" collapsed="false">
      <c r="A162" s="51"/>
      <c r="B162" s="11" t="str">
        <f aca="false">IF(A162="","",INT((A162-'Start here'!$C$5)/7)+1)</f>
        <v/>
      </c>
      <c r="C162" s="20"/>
      <c r="D162" s="20"/>
      <c r="E162" s="20"/>
      <c r="F162" s="11" t="str">
        <f aca="false">IF(COUNT(C162:E162)&lt;3,"",SUM(C162:E162))</f>
        <v/>
      </c>
      <c r="G162" s="12" t="str">
        <f aca="false">IF(F162="","",IF(F162&lt;=6,"Technique and mobility only",IF(F162&lt;=8,"Main lift top set only; −1 set on every accessory; RPE cap 7","Train as planned")))</f>
        <v/>
      </c>
      <c r="H162" s="20"/>
      <c r="I162" s="20"/>
      <c r="J162" s="54"/>
      <c r="K162" s="12" t="str">
        <f aca="false">IF(I162="","",IF(I162&gt;=5,"Drop that pattern this week",IF(I162&gt;=3,"Swap that exercise","OK")))</f>
        <v/>
      </c>
      <c r="L162" s="20"/>
    </row>
    <row r="163" customFormat="false" ht="15" hidden="false" customHeight="false" outlineLevel="0" collapsed="false">
      <c r="A163" s="51"/>
      <c r="B163" s="11" t="str">
        <f aca="false">IF(A163="","",INT((A163-'Start here'!$C$5)/7)+1)</f>
        <v/>
      </c>
      <c r="C163" s="20"/>
      <c r="D163" s="20"/>
      <c r="E163" s="20"/>
      <c r="F163" s="11" t="str">
        <f aca="false">IF(COUNT(C163:E163)&lt;3,"",SUM(C163:E163))</f>
        <v/>
      </c>
      <c r="G163" s="12" t="str">
        <f aca="false">IF(F163="","",IF(F163&lt;=6,"Technique and mobility only",IF(F163&lt;=8,"Main lift top set only; −1 set on every accessory; RPE cap 7","Train as planned")))</f>
        <v/>
      </c>
      <c r="H163" s="20"/>
      <c r="I163" s="20"/>
      <c r="J163" s="54"/>
      <c r="K163" s="12" t="str">
        <f aca="false">IF(I163="","",IF(I163&gt;=5,"Drop that pattern this week",IF(I163&gt;=3,"Swap that exercise","OK")))</f>
        <v/>
      </c>
      <c r="L163" s="20"/>
    </row>
    <row r="164" customFormat="false" ht="15" hidden="false" customHeight="false" outlineLevel="0" collapsed="false">
      <c r="A164" s="51"/>
      <c r="B164" s="11" t="str">
        <f aca="false">IF(A164="","",INT((A164-'Start here'!$C$5)/7)+1)</f>
        <v/>
      </c>
      <c r="C164" s="20"/>
      <c r="D164" s="20"/>
      <c r="E164" s="20"/>
      <c r="F164" s="11" t="str">
        <f aca="false">IF(COUNT(C164:E164)&lt;3,"",SUM(C164:E164))</f>
        <v/>
      </c>
      <c r="G164" s="12" t="str">
        <f aca="false">IF(F164="","",IF(F164&lt;=6,"Technique and mobility only",IF(F164&lt;=8,"Main lift top set only; −1 set on every accessory; RPE cap 7","Train as planned")))</f>
        <v/>
      </c>
      <c r="H164" s="20"/>
      <c r="I164" s="20"/>
      <c r="J164" s="54"/>
      <c r="K164" s="12" t="str">
        <f aca="false">IF(I164="","",IF(I164&gt;=5,"Drop that pattern this week",IF(I164&gt;=3,"Swap that exercise","OK")))</f>
        <v/>
      </c>
      <c r="L164" s="20"/>
    </row>
    <row r="165" customFormat="false" ht="15" hidden="false" customHeight="false" outlineLevel="0" collapsed="false">
      <c r="A165" s="51"/>
      <c r="B165" s="11" t="str">
        <f aca="false">IF(A165="","",INT((A165-'Start here'!$C$5)/7)+1)</f>
        <v/>
      </c>
      <c r="C165" s="20"/>
      <c r="D165" s="20"/>
      <c r="E165" s="20"/>
      <c r="F165" s="11" t="str">
        <f aca="false">IF(COUNT(C165:E165)&lt;3,"",SUM(C165:E165))</f>
        <v/>
      </c>
      <c r="G165" s="12" t="str">
        <f aca="false">IF(F165="","",IF(F165&lt;=6,"Technique and mobility only",IF(F165&lt;=8,"Main lift top set only; −1 set on every accessory; RPE cap 7","Train as planned")))</f>
        <v/>
      </c>
      <c r="H165" s="20"/>
      <c r="I165" s="20"/>
      <c r="J165" s="54"/>
      <c r="K165" s="12" t="str">
        <f aca="false">IF(I165="","",IF(I165&gt;=5,"Drop that pattern this week",IF(I165&gt;=3,"Swap that exercise","OK")))</f>
        <v/>
      </c>
      <c r="L165" s="20"/>
    </row>
    <row r="166" customFormat="false" ht="15" hidden="false" customHeight="false" outlineLevel="0" collapsed="false">
      <c r="A166" s="51"/>
      <c r="B166" s="11" t="str">
        <f aca="false">IF(A166="","",INT((A166-'Start here'!$C$5)/7)+1)</f>
        <v/>
      </c>
      <c r="C166" s="20"/>
      <c r="D166" s="20"/>
      <c r="E166" s="20"/>
      <c r="F166" s="11" t="str">
        <f aca="false">IF(COUNT(C166:E166)&lt;3,"",SUM(C166:E166))</f>
        <v/>
      </c>
      <c r="G166" s="12" t="str">
        <f aca="false">IF(F166="","",IF(F166&lt;=6,"Technique and mobility only",IF(F166&lt;=8,"Main lift top set only; −1 set on every accessory; RPE cap 7","Train as planned")))</f>
        <v/>
      </c>
      <c r="H166" s="20"/>
      <c r="I166" s="20"/>
      <c r="J166" s="54"/>
      <c r="K166" s="12" t="str">
        <f aca="false">IF(I166="","",IF(I166&gt;=5,"Drop that pattern this week",IF(I166&gt;=3,"Swap that exercise","OK")))</f>
        <v/>
      </c>
      <c r="L166" s="20"/>
    </row>
    <row r="167" customFormat="false" ht="15" hidden="false" customHeight="false" outlineLevel="0" collapsed="false">
      <c r="A167" s="51"/>
      <c r="B167" s="11" t="str">
        <f aca="false">IF(A167="","",INT((A167-'Start here'!$C$5)/7)+1)</f>
        <v/>
      </c>
      <c r="C167" s="20"/>
      <c r="D167" s="20"/>
      <c r="E167" s="20"/>
      <c r="F167" s="11" t="str">
        <f aca="false">IF(COUNT(C167:E167)&lt;3,"",SUM(C167:E167))</f>
        <v/>
      </c>
      <c r="G167" s="12" t="str">
        <f aca="false">IF(F167="","",IF(F167&lt;=6,"Technique and mobility only",IF(F167&lt;=8,"Main lift top set only; −1 set on every accessory; RPE cap 7","Train as planned")))</f>
        <v/>
      </c>
      <c r="H167" s="20"/>
      <c r="I167" s="20"/>
      <c r="J167" s="54"/>
      <c r="K167" s="12" t="str">
        <f aca="false">IF(I167="","",IF(I167&gt;=5,"Drop that pattern this week",IF(I167&gt;=3,"Swap that exercise","OK")))</f>
        <v/>
      </c>
      <c r="L167" s="20"/>
    </row>
    <row r="168" customFormat="false" ht="15" hidden="false" customHeight="false" outlineLevel="0" collapsed="false">
      <c r="A168" s="51"/>
      <c r="B168" s="11" t="str">
        <f aca="false">IF(A168="","",INT((A168-'Start here'!$C$5)/7)+1)</f>
        <v/>
      </c>
      <c r="C168" s="20"/>
      <c r="D168" s="20"/>
      <c r="E168" s="20"/>
      <c r="F168" s="11" t="str">
        <f aca="false">IF(COUNT(C168:E168)&lt;3,"",SUM(C168:E168))</f>
        <v/>
      </c>
      <c r="G168" s="12" t="str">
        <f aca="false">IF(F168="","",IF(F168&lt;=6,"Technique and mobility only",IF(F168&lt;=8,"Main lift top set only; −1 set on every accessory; RPE cap 7","Train as planned")))</f>
        <v/>
      </c>
      <c r="H168" s="20"/>
      <c r="I168" s="20"/>
      <c r="J168" s="54"/>
      <c r="K168" s="12" t="str">
        <f aca="false">IF(I168="","",IF(I168&gt;=5,"Drop that pattern this week",IF(I168&gt;=3,"Swap that exercise","OK")))</f>
        <v/>
      </c>
      <c r="L168" s="20"/>
    </row>
    <row r="169" customFormat="false" ht="15" hidden="false" customHeight="false" outlineLevel="0" collapsed="false">
      <c r="A169" s="51"/>
      <c r="B169" s="11" t="str">
        <f aca="false">IF(A169="","",INT((A169-'Start here'!$C$5)/7)+1)</f>
        <v/>
      </c>
      <c r="C169" s="20"/>
      <c r="D169" s="20"/>
      <c r="E169" s="20"/>
      <c r="F169" s="11" t="str">
        <f aca="false">IF(COUNT(C169:E169)&lt;3,"",SUM(C169:E169))</f>
        <v/>
      </c>
      <c r="G169" s="12" t="str">
        <f aca="false">IF(F169="","",IF(F169&lt;=6,"Technique and mobility only",IF(F169&lt;=8,"Main lift top set only; −1 set on every accessory; RPE cap 7","Train as planned")))</f>
        <v/>
      </c>
      <c r="H169" s="20"/>
      <c r="I169" s="20"/>
      <c r="J169" s="54"/>
      <c r="K169" s="12" t="str">
        <f aca="false">IF(I169="","",IF(I169&gt;=5,"Drop that pattern this week",IF(I169&gt;=3,"Swap that exercise","OK")))</f>
        <v/>
      </c>
      <c r="L169" s="20"/>
    </row>
    <row r="170" customFormat="false" ht="15" hidden="false" customHeight="false" outlineLevel="0" collapsed="false">
      <c r="A170" s="51"/>
      <c r="B170" s="11" t="str">
        <f aca="false">IF(A170="","",INT((A170-'Start here'!$C$5)/7)+1)</f>
        <v/>
      </c>
      <c r="C170" s="20"/>
      <c r="D170" s="20"/>
      <c r="E170" s="20"/>
      <c r="F170" s="11" t="str">
        <f aca="false">IF(COUNT(C170:E170)&lt;3,"",SUM(C170:E170))</f>
        <v/>
      </c>
      <c r="G170" s="12" t="str">
        <f aca="false">IF(F170="","",IF(F170&lt;=6,"Technique and mobility only",IF(F170&lt;=8,"Main lift top set only; −1 set on every accessory; RPE cap 7","Train as planned")))</f>
        <v/>
      </c>
      <c r="H170" s="20"/>
      <c r="I170" s="20"/>
      <c r="J170" s="54"/>
      <c r="K170" s="12" t="str">
        <f aca="false">IF(I170="","",IF(I170&gt;=5,"Drop that pattern this week",IF(I170&gt;=3,"Swap that exercise","OK")))</f>
        <v/>
      </c>
      <c r="L170" s="20"/>
    </row>
    <row r="171" customFormat="false" ht="15" hidden="false" customHeight="false" outlineLevel="0" collapsed="false">
      <c r="A171" s="51"/>
      <c r="B171" s="11" t="str">
        <f aca="false">IF(A171="","",INT((A171-'Start here'!$C$5)/7)+1)</f>
        <v/>
      </c>
      <c r="C171" s="20"/>
      <c r="D171" s="20"/>
      <c r="E171" s="20"/>
      <c r="F171" s="11" t="str">
        <f aca="false">IF(COUNT(C171:E171)&lt;3,"",SUM(C171:E171))</f>
        <v/>
      </c>
      <c r="G171" s="12" t="str">
        <f aca="false">IF(F171="","",IF(F171&lt;=6,"Technique and mobility only",IF(F171&lt;=8,"Main lift top set only; −1 set on every accessory; RPE cap 7","Train as planned")))</f>
        <v/>
      </c>
      <c r="H171" s="20"/>
      <c r="I171" s="20"/>
      <c r="J171" s="54"/>
      <c r="K171" s="12" t="str">
        <f aca="false">IF(I171="","",IF(I171&gt;=5,"Drop that pattern this week",IF(I171&gt;=3,"Swap that exercise","OK")))</f>
        <v/>
      </c>
      <c r="L171" s="20"/>
    </row>
    <row r="172" customFormat="false" ht="15" hidden="false" customHeight="false" outlineLevel="0" collapsed="false">
      <c r="A172" s="51"/>
      <c r="B172" s="11" t="str">
        <f aca="false">IF(A172="","",INT((A172-'Start here'!$C$5)/7)+1)</f>
        <v/>
      </c>
      <c r="C172" s="20"/>
      <c r="D172" s="20"/>
      <c r="E172" s="20"/>
      <c r="F172" s="11" t="str">
        <f aca="false">IF(COUNT(C172:E172)&lt;3,"",SUM(C172:E172))</f>
        <v/>
      </c>
      <c r="G172" s="12" t="str">
        <f aca="false">IF(F172="","",IF(F172&lt;=6,"Technique and mobility only",IF(F172&lt;=8,"Main lift top set only; −1 set on every accessory; RPE cap 7","Train as planned")))</f>
        <v/>
      </c>
      <c r="H172" s="20"/>
      <c r="I172" s="20"/>
      <c r="J172" s="54"/>
      <c r="K172" s="12" t="str">
        <f aca="false">IF(I172="","",IF(I172&gt;=5,"Drop that pattern this week",IF(I172&gt;=3,"Swap that exercise","OK")))</f>
        <v/>
      </c>
      <c r="L172" s="20"/>
    </row>
    <row r="173" customFormat="false" ht="15" hidden="false" customHeight="false" outlineLevel="0" collapsed="false">
      <c r="A173" s="51"/>
      <c r="B173" s="11" t="str">
        <f aca="false">IF(A173="","",INT((A173-'Start here'!$C$5)/7)+1)</f>
        <v/>
      </c>
      <c r="C173" s="20"/>
      <c r="D173" s="20"/>
      <c r="E173" s="20"/>
      <c r="F173" s="11" t="str">
        <f aca="false">IF(COUNT(C173:E173)&lt;3,"",SUM(C173:E173))</f>
        <v/>
      </c>
      <c r="G173" s="12" t="str">
        <f aca="false">IF(F173="","",IF(F173&lt;=6,"Technique and mobility only",IF(F173&lt;=8,"Main lift top set only; −1 set on every accessory; RPE cap 7","Train as planned")))</f>
        <v/>
      </c>
      <c r="H173" s="20"/>
      <c r="I173" s="20"/>
      <c r="J173" s="54"/>
      <c r="K173" s="12" t="str">
        <f aca="false">IF(I173="","",IF(I173&gt;=5,"Drop that pattern this week",IF(I173&gt;=3,"Swap that exercise","OK")))</f>
        <v/>
      </c>
      <c r="L173" s="20"/>
    </row>
    <row r="174" customFormat="false" ht="15" hidden="false" customHeight="false" outlineLevel="0" collapsed="false">
      <c r="A174" s="51"/>
      <c r="B174" s="11" t="str">
        <f aca="false">IF(A174="","",INT((A174-'Start here'!$C$5)/7)+1)</f>
        <v/>
      </c>
      <c r="C174" s="20"/>
      <c r="D174" s="20"/>
      <c r="E174" s="20"/>
      <c r="F174" s="11" t="str">
        <f aca="false">IF(COUNT(C174:E174)&lt;3,"",SUM(C174:E174))</f>
        <v/>
      </c>
      <c r="G174" s="12" t="str">
        <f aca="false">IF(F174="","",IF(F174&lt;=6,"Technique and mobility only",IF(F174&lt;=8,"Main lift top set only; −1 set on every accessory; RPE cap 7","Train as planned")))</f>
        <v/>
      </c>
      <c r="H174" s="20"/>
      <c r="I174" s="20"/>
      <c r="J174" s="54"/>
      <c r="K174" s="12" t="str">
        <f aca="false">IF(I174="","",IF(I174&gt;=5,"Drop that pattern this week",IF(I174&gt;=3,"Swap that exercise","OK")))</f>
        <v/>
      </c>
      <c r="L174" s="20"/>
    </row>
    <row r="175" customFormat="false" ht="15" hidden="false" customHeight="false" outlineLevel="0" collapsed="false">
      <c r="A175" s="51"/>
      <c r="B175" s="11" t="str">
        <f aca="false">IF(A175="","",INT((A175-'Start here'!$C$5)/7)+1)</f>
        <v/>
      </c>
      <c r="C175" s="20"/>
      <c r="D175" s="20"/>
      <c r="E175" s="20"/>
      <c r="F175" s="11" t="str">
        <f aca="false">IF(COUNT(C175:E175)&lt;3,"",SUM(C175:E175))</f>
        <v/>
      </c>
      <c r="G175" s="12" t="str">
        <f aca="false">IF(F175="","",IF(F175&lt;=6,"Technique and mobility only",IF(F175&lt;=8,"Main lift top set only; −1 set on every accessory; RPE cap 7","Train as planned")))</f>
        <v/>
      </c>
      <c r="H175" s="20"/>
      <c r="I175" s="20"/>
      <c r="J175" s="54"/>
      <c r="K175" s="12" t="str">
        <f aca="false">IF(I175="","",IF(I175&gt;=5,"Drop that pattern this week",IF(I175&gt;=3,"Swap that exercise","OK")))</f>
        <v/>
      </c>
      <c r="L175" s="20"/>
    </row>
    <row r="176" customFormat="false" ht="15" hidden="false" customHeight="false" outlineLevel="0" collapsed="false">
      <c r="A176" s="51"/>
      <c r="B176" s="11" t="str">
        <f aca="false">IF(A176="","",INT((A176-'Start here'!$C$5)/7)+1)</f>
        <v/>
      </c>
      <c r="C176" s="20"/>
      <c r="D176" s="20"/>
      <c r="E176" s="20"/>
      <c r="F176" s="11" t="str">
        <f aca="false">IF(COUNT(C176:E176)&lt;3,"",SUM(C176:E176))</f>
        <v/>
      </c>
      <c r="G176" s="12" t="str">
        <f aca="false">IF(F176="","",IF(F176&lt;=6,"Technique and mobility only",IF(F176&lt;=8,"Main lift top set only; −1 set on every accessory; RPE cap 7","Train as planned")))</f>
        <v/>
      </c>
      <c r="H176" s="20"/>
      <c r="I176" s="20"/>
      <c r="J176" s="54"/>
      <c r="K176" s="12" t="str">
        <f aca="false">IF(I176="","",IF(I176&gt;=5,"Drop that pattern this week",IF(I176&gt;=3,"Swap that exercise","OK")))</f>
        <v/>
      </c>
      <c r="L176" s="20"/>
    </row>
    <row r="177" customFormat="false" ht="15" hidden="false" customHeight="false" outlineLevel="0" collapsed="false">
      <c r="A177" s="51"/>
      <c r="B177" s="11" t="str">
        <f aca="false">IF(A177="","",INT((A177-'Start here'!$C$5)/7)+1)</f>
        <v/>
      </c>
      <c r="C177" s="20"/>
      <c r="D177" s="20"/>
      <c r="E177" s="20"/>
      <c r="F177" s="11" t="str">
        <f aca="false">IF(COUNT(C177:E177)&lt;3,"",SUM(C177:E177))</f>
        <v/>
      </c>
      <c r="G177" s="12" t="str">
        <f aca="false">IF(F177="","",IF(F177&lt;=6,"Technique and mobility only",IF(F177&lt;=8,"Main lift top set only; −1 set on every accessory; RPE cap 7","Train as planned")))</f>
        <v/>
      </c>
      <c r="H177" s="20"/>
      <c r="I177" s="20"/>
      <c r="J177" s="54"/>
      <c r="K177" s="12" t="str">
        <f aca="false">IF(I177="","",IF(I177&gt;=5,"Drop that pattern this week",IF(I177&gt;=3,"Swap that exercise","OK")))</f>
        <v/>
      </c>
      <c r="L177" s="20"/>
    </row>
    <row r="178" customFormat="false" ht="15" hidden="false" customHeight="false" outlineLevel="0" collapsed="false">
      <c r="A178" s="51"/>
      <c r="B178" s="11" t="str">
        <f aca="false">IF(A178="","",INT((A178-'Start here'!$C$5)/7)+1)</f>
        <v/>
      </c>
      <c r="C178" s="20"/>
      <c r="D178" s="20"/>
      <c r="E178" s="20"/>
      <c r="F178" s="11" t="str">
        <f aca="false">IF(COUNT(C178:E178)&lt;3,"",SUM(C178:E178))</f>
        <v/>
      </c>
      <c r="G178" s="12" t="str">
        <f aca="false">IF(F178="","",IF(F178&lt;=6,"Technique and mobility only",IF(F178&lt;=8,"Main lift top set only; −1 set on every accessory; RPE cap 7","Train as planned")))</f>
        <v/>
      </c>
      <c r="H178" s="20"/>
      <c r="I178" s="20"/>
      <c r="J178" s="54"/>
      <c r="K178" s="12" t="str">
        <f aca="false">IF(I178="","",IF(I178&gt;=5,"Drop that pattern this week",IF(I178&gt;=3,"Swap that exercise","OK")))</f>
        <v/>
      </c>
      <c r="L178" s="20"/>
    </row>
    <row r="179" customFormat="false" ht="15" hidden="false" customHeight="false" outlineLevel="0" collapsed="false">
      <c r="A179" s="51"/>
      <c r="B179" s="11" t="str">
        <f aca="false">IF(A179="","",INT((A179-'Start here'!$C$5)/7)+1)</f>
        <v/>
      </c>
      <c r="C179" s="20"/>
      <c r="D179" s="20"/>
      <c r="E179" s="20"/>
      <c r="F179" s="11" t="str">
        <f aca="false">IF(COUNT(C179:E179)&lt;3,"",SUM(C179:E179))</f>
        <v/>
      </c>
      <c r="G179" s="12" t="str">
        <f aca="false">IF(F179="","",IF(F179&lt;=6,"Technique and mobility only",IF(F179&lt;=8,"Main lift top set only; −1 set on every accessory; RPE cap 7","Train as planned")))</f>
        <v/>
      </c>
      <c r="H179" s="20"/>
      <c r="I179" s="20"/>
      <c r="J179" s="54"/>
      <c r="K179" s="12" t="str">
        <f aca="false">IF(I179="","",IF(I179&gt;=5,"Drop that pattern this week",IF(I179&gt;=3,"Swap that exercise","OK")))</f>
        <v/>
      </c>
      <c r="L179" s="20"/>
    </row>
    <row r="180" customFormat="false" ht="15" hidden="false" customHeight="false" outlineLevel="0" collapsed="false">
      <c r="A180" s="51"/>
      <c r="B180" s="11" t="str">
        <f aca="false">IF(A180="","",INT((A180-'Start here'!$C$5)/7)+1)</f>
        <v/>
      </c>
      <c r="C180" s="20"/>
      <c r="D180" s="20"/>
      <c r="E180" s="20"/>
      <c r="F180" s="11" t="str">
        <f aca="false">IF(COUNT(C180:E180)&lt;3,"",SUM(C180:E180))</f>
        <v/>
      </c>
      <c r="G180" s="12" t="str">
        <f aca="false">IF(F180="","",IF(F180&lt;=6,"Technique and mobility only",IF(F180&lt;=8,"Main lift top set only; −1 set on every accessory; RPE cap 7","Train as planned")))</f>
        <v/>
      </c>
      <c r="H180" s="20"/>
      <c r="I180" s="20"/>
      <c r="J180" s="54"/>
      <c r="K180" s="12" t="str">
        <f aca="false">IF(I180="","",IF(I180&gt;=5,"Drop that pattern this week",IF(I180&gt;=3,"Swap that exercise","OK")))</f>
        <v/>
      </c>
      <c r="L180" s="20"/>
    </row>
    <row r="181" customFormat="false" ht="15" hidden="false" customHeight="false" outlineLevel="0" collapsed="false">
      <c r="A181" s="51"/>
      <c r="B181" s="11" t="str">
        <f aca="false">IF(A181="","",INT((A181-'Start here'!$C$5)/7)+1)</f>
        <v/>
      </c>
      <c r="C181" s="20"/>
      <c r="D181" s="20"/>
      <c r="E181" s="20"/>
      <c r="F181" s="11" t="str">
        <f aca="false">IF(COUNT(C181:E181)&lt;3,"",SUM(C181:E181))</f>
        <v/>
      </c>
      <c r="G181" s="12" t="str">
        <f aca="false">IF(F181="","",IF(F181&lt;=6,"Technique and mobility only",IF(F181&lt;=8,"Main lift top set only; −1 set on every accessory; RPE cap 7","Train as planned")))</f>
        <v/>
      </c>
      <c r="H181" s="20"/>
      <c r="I181" s="20"/>
      <c r="J181" s="54"/>
      <c r="K181" s="12" t="str">
        <f aca="false">IF(I181="","",IF(I181&gt;=5,"Drop that pattern this week",IF(I181&gt;=3,"Swap that exercise","OK")))</f>
        <v/>
      </c>
      <c r="L181" s="20"/>
    </row>
    <row r="182" customFormat="false" ht="15" hidden="false" customHeight="false" outlineLevel="0" collapsed="false">
      <c r="A182" s="51"/>
      <c r="B182" s="11" t="str">
        <f aca="false">IF(A182="","",INT((A182-'Start here'!$C$5)/7)+1)</f>
        <v/>
      </c>
      <c r="C182" s="20"/>
      <c r="D182" s="20"/>
      <c r="E182" s="20"/>
      <c r="F182" s="11" t="str">
        <f aca="false">IF(COUNT(C182:E182)&lt;3,"",SUM(C182:E182))</f>
        <v/>
      </c>
      <c r="G182" s="12" t="str">
        <f aca="false">IF(F182="","",IF(F182&lt;=6,"Technique and mobility only",IF(F182&lt;=8,"Main lift top set only; −1 set on every accessory; RPE cap 7","Train as planned")))</f>
        <v/>
      </c>
      <c r="H182" s="20"/>
      <c r="I182" s="20"/>
      <c r="J182" s="54"/>
      <c r="K182" s="12" t="str">
        <f aca="false">IF(I182="","",IF(I182&gt;=5,"Drop that pattern this week",IF(I182&gt;=3,"Swap that exercise","OK")))</f>
        <v/>
      </c>
      <c r="L182" s="20"/>
    </row>
    <row r="183" customFormat="false" ht="15" hidden="false" customHeight="false" outlineLevel="0" collapsed="false">
      <c r="A183" s="51"/>
      <c r="B183" s="11" t="str">
        <f aca="false">IF(A183="","",INT((A183-'Start here'!$C$5)/7)+1)</f>
        <v/>
      </c>
      <c r="C183" s="20"/>
      <c r="D183" s="20"/>
      <c r="E183" s="20"/>
      <c r="F183" s="11" t="str">
        <f aca="false">IF(COUNT(C183:E183)&lt;3,"",SUM(C183:E183))</f>
        <v/>
      </c>
      <c r="G183" s="12" t="str">
        <f aca="false">IF(F183="","",IF(F183&lt;=6,"Technique and mobility only",IF(F183&lt;=8,"Main lift top set only; −1 set on every accessory; RPE cap 7","Train as planned")))</f>
        <v/>
      </c>
      <c r="H183" s="20"/>
      <c r="I183" s="20"/>
      <c r="J183" s="54"/>
      <c r="K183" s="12" t="str">
        <f aca="false">IF(I183="","",IF(I183&gt;=5,"Drop that pattern this week",IF(I183&gt;=3,"Swap that exercise","OK")))</f>
        <v/>
      </c>
      <c r="L183" s="20"/>
    </row>
    <row r="184" customFormat="false" ht="15" hidden="false" customHeight="false" outlineLevel="0" collapsed="false">
      <c r="A184" s="51"/>
      <c r="B184" s="11" t="str">
        <f aca="false">IF(A184="","",INT((A184-'Start here'!$C$5)/7)+1)</f>
        <v/>
      </c>
      <c r="C184" s="20"/>
      <c r="D184" s="20"/>
      <c r="E184" s="20"/>
      <c r="F184" s="11" t="str">
        <f aca="false">IF(COUNT(C184:E184)&lt;3,"",SUM(C184:E184))</f>
        <v/>
      </c>
      <c r="G184" s="12" t="str">
        <f aca="false">IF(F184="","",IF(F184&lt;=6,"Technique and mobility only",IF(F184&lt;=8,"Main lift top set only; −1 set on every accessory; RPE cap 7","Train as planned")))</f>
        <v/>
      </c>
      <c r="H184" s="20"/>
      <c r="I184" s="20"/>
      <c r="J184" s="54"/>
      <c r="K184" s="12" t="str">
        <f aca="false">IF(I184="","",IF(I184&gt;=5,"Drop that pattern this week",IF(I184&gt;=3,"Swap that exercise","OK")))</f>
        <v/>
      </c>
      <c r="L184" s="20"/>
    </row>
    <row r="185" customFormat="false" ht="15" hidden="false" customHeight="false" outlineLevel="0" collapsed="false">
      <c r="A185" s="51"/>
      <c r="B185" s="11" t="str">
        <f aca="false">IF(A185="","",INT((A185-'Start here'!$C$5)/7)+1)</f>
        <v/>
      </c>
      <c r="C185" s="20"/>
      <c r="D185" s="20"/>
      <c r="E185" s="20"/>
      <c r="F185" s="11" t="str">
        <f aca="false">IF(COUNT(C185:E185)&lt;3,"",SUM(C185:E185))</f>
        <v/>
      </c>
      <c r="G185" s="12" t="str">
        <f aca="false">IF(F185="","",IF(F185&lt;=6,"Technique and mobility only",IF(F185&lt;=8,"Main lift top set only; −1 set on every accessory; RPE cap 7","Train as planned")))</f>
        <v/>
      </c>
      <c r="H185" s="20"/>
      <c r="I185" s="20"/>
      <c r="J185" s="54"/>
      <c r="K185" s="12" t="str">
        <f aca="false">IF(I185="","",IF(I185&gt;=5,"Drop that pattern this week",IF(I185&gt;=3,"Swap that exercise","OK")))</f>
        <v/>
      </c>
      <c r="L185" s="20"/>
    </row>
    <row r="186" customFormat="false" ht="15" hidden="false" customHeight="false" outlineLevel="0" collapsed="false">
      <c r="A186" s="51"/>
      <c r="B186" s="11" t="str">
        <f aca="false">IF(A186="","",INT((A186-'Start here'!$C$5)/7)+1)</f>
        <v/>
      </c>
      <c r="C186" s="20"/>
      <c r="D186" s="20"/>
      <c r="E186" s="20"/>
      <c r="F186" s="11" t="str">
        <f aca="false">IF(COUNT(C186:E186)&lt;3,"",SUM(C186:E186))</f>
        <v/>
      </c>
      <c r="G186" s="12" t="str">
        <f aca="false">IF(F186="","",IF(F186&lt;=6,"Technique and mobility only",IF(F186&lt;=8,"Main lift top set only; −1 set on every accessory; RPE cap 7","Train as planned")))</f>
        <v/>
      </c>
      <c r="H186" s="20"/>
      <c r="I186" s="20"/>
      <c r="J186" s="54"/>
      <c r="K186" s="12" t="str">
        <f aca="false">IF(I186="","",IF(I186&gt;=5,"Drop that pattern this week",IF(I186&gt;=3,"Swap that exercise","OK")))</f>
        <v/>
      </c>
      <c r="L186" s="20"/>
    </row>
    <row r="187" customFormat="false" ht="15" hidden="false" customHeight="false" outlineLevel="0" collapsed="false">
      <c r="A187" s="51"/>
      <c r="B187" s="11" t="str">
        <f aca="false">IF(A187="","",INT((A187-'Start here'!$C$5)/7)+1)</f>
        <v/>
      </c>
      <c r="C187" s="20"/>
      <c r="D187" s="20"/>
      <c r="E187" s="20"/>
      <c r="F187" s="11" t="str">
        <f aca="false">IF(COUNT(C187:E187)&lt;3,"",SUM(C187:E187))</f>
        <v/>
      </c>
      <c r="G187" s="12" t="str">
        <f aca="false">IF(F187="","",IF(F187&lt;=6,"Technique and mobility only",IF(F187&lt;=8,"Main lift top set only; −1 set on every accessory; RPE cap 7","Train as planned")))</f>
        <v/>
      </c>
      <c r="H187" s="20"/>
      <c r="I187" s="20"/>
      <c r="J187" s="54"/>
      <c r="K187" s="12" t="str">
        <f aca="false">IF(I187="","",IF(I187&gt;=5,"Drop that pattern this week",IF(I187&gt;=3,"Swap that exercise","OK")))</f>
        <v/>
      </c>
      <c r="L187" s="20"/>
    </row>
    <row r="188" customFormat="false" ht="15" hidden="false" customHeight="false" outlineLevel="0" collapsed="false">
      <c r="A188" s="51"/>
      <c r="B188" s="11" t="str">
        <f aca="false">IF(A188="","",INT((A188-'Start here'!$C$5)/7)+1)</f>
        <v/>
      </c>
      <c r="C188" s="20"/>
      <c r="D188" s="20"/>
      <c r="E188" s="20"/>
      <c r="F188" s="11" t="str">
        <f aca="false">IF(COUNT(C188:E188)&lt;3,"",SUM(C188:E188))</f>
        <v/>
      </c>
      <c r="G188" s="12" t="str">
        <f aca="false">IF(F188="","",IF(F188&lt;=6,"Technique and mobility only",IF(F188&lt;=8,"Main lift top set only; −1 set on every accessory; RPE cap 7","Train as planned")))</f>
        <v/>
      </c>
      <c r="H188" s="20"/>
      <c r="I188" s="20"/>
      <c r="J188" s="54"/>
      <c r="K188" s="12" t="str">
        <f aca="false">IF(I188="","",IF(I188&gt;=5,"Drop that pattern this week",IF(I188&gt;=3,"Swap that exercise","OK")))</f>
        <v/>
      </c>
      <c r="L188" s="20"/>
    </row>
    <row r="189" customFormat="false" ht="15" hidden="false" customHeight="false" outlineLevel="0" collapsed="false">
      <c r="A189" s="51"/>
      <c r="B189" s="11" t="str">
        <f aca="false">IF(A189="","",INT((A189-'Start here'!$C$5)/7)+1)</f>
        <v/>
      </c>
      <c r="C189" s="20"/>
      <c r="D189" s="20"/>
      <c r="E189" s="20"/>
      <c r="F189" s="11" t="str">
        <f aca="false">IF(COUNT(C189:E189)&lt;3,"",SUM(C189:E189))</f>
        <v/>
      </c>
      <c r="G189" s="12" t="str">
        <f aca="false">IF(F189="","",IF(F189&lt;=6,"Technique and mobility only",IF(F189&lt;=8,"Main lift top set only; −1 set on every accessory; RPE cap 7","Train as planned")))</f>
        <v/>
      </c>
      <c r="H189" s="20"/>
      <c r="I189" s="20"/>
      <c r="J189" s="54"/>
      <c r="K189" s="12" t="str">
        <f aca="false">IF(I189="","",IF(I189&gt;=5,"Drop that pattern this week",IF(I189&gt;=3,"Swap that exercise","OK")))</f>
        <v/>
      </c>
      <c r="L189" s="20"/>
    </row>
    <row r="190" customFormat="false" ht="15" hidden="false" customHeight="false" outlineLevel="0" collapsed="false">
      <c r="A190" s="51"/>
      <c r="B190" s="11" t="str">
        <f aca="false">IF(A190="","",INT((A190-'Start here'!$C$5)/7)+1)</f>
        <v/>
      </c>
      <c r="C190" s="20"/>
      <c r="D190" s="20"/>
      <c r="E190" s="20"/>
      <c r="F190" s="11" t="str">
        <f aca="false">IF(COUNT(C190:E190)&lt;3,"",SUM(C190:E190))</f>
        <v/>
      </c>
      <c r="G190" s="12" t="str">
        <f aca="false">IF(F190="","",IF(F190&lt;=6,"Technique and mobility only",IF(F190&lt;=8,"Main lift top set only; −1 set on every accessory; RPE cap 7","Train as planned")))</f>
        <v/>
      </c>
      <c r="H190" s="20"/>
      <c r="I190" s="20"/>
      <c r="J190" s="54"/>
      <c r="K190" s="12" t="str">
        <f aca="false">IF(I190="","",IF(I190&gt;=5,"Drop that pattern this week",IF(I190&gt;=3,"Swap that exercise","OK")))</f>
        <v/>
      </c>
      <c r="L190" s="20"/>
    </row>
    <row r="191" customFormat="false" ht="15" hidden="false" customHeight="false" outlineLevel="0" collapsed="false">
      <c r="A191" s="51"/>
      <c r="B191" s="11" t="str">
        <f aca="false">IF(A191="","",INT((A191-'Start here'!$C$5)/7)+1)</f>
        <v/>
      </c>
      <c r="C191" s="20"/>
      <c r="D191" s="20"/>
      <c r="E191" s="20"/>
      <c r="F191" s="11" t="str">
        <f aca="false">IF(COUNT(C191:E191)&lt;3,"",SUM(C191:E191))</f>
        <v/>
      </c>
      <c r="G191" s="12" t="str">
        <f aca="false">IF(F191="","",IF(F191&lt;=6,"Technique and mobility only",IF(F191&lt;=8,"Main lift top set only; −1 set on every accessory; RPE cap 7","Train as planned")))</f>
        <v/>
      </c>
      <c r="H191" s="20"/>
      <c r="I191" s="20"/>
      <c r="J191" s="54"/>
      <c r="K191" s="12" t="str">
        <f aca="false">IF(I191="","",IF(I191&gt;=5,"Drop that pattern this week",IF(I191&gt;=3,"Swap that exercise","OK")))</f>
        <v/>
      </c>
      <c r="L191" s="20"/>
    </row>
    <row r="192" customFormat="false" ht="15" hidden="false" customHeight="false" outlineLevel="0" collapsed="false">
      <c r="A192" s="51"/>
      <c r="B192" s="11" t="str">
        <f aca="false">IF(A192="","",INT((A192-'Start here'!$C$5)/7)+1)</f>
        <v/>
      </c>
      <c r="C192" s="20"/>
      <c r="D192" s="20"/>
      <c r="E192" s="20"/>
      <c r="F192" s="11" t="str">
        <f aca="false">IF(COUNT(C192:E192)&lt;3,"",SUM(C192:E192))</f>
        <v/>
      </c>
      <c r="G192" s="12" t="str">
        <f aca="false">IF(F192="","",IF(F192&lt;=6,"Technique and mobility only",IF(F192&lt;=8,"Main lift top set only; −1 set on every accessory; RPE cap 7","Train as planned")))</f>
        <v/>
      </c>
      <c r="H192" s="20"/>
      <c r="I192" s="20"/>
      <c r="J192" s="54"/>
      <c r="K192" s="12" t="str">
        <f aca="false">IF(I192="","",IF(I192&gt;=5,"Drop that pattern this week",IF(I192&gt;=3,"Swap that exercise","OK")))</f>
        <v/>
      </c>
      <c r="L192" s="20"/>
    </row>
    <row r="193" customFormat="false" ht="15" hidden="false" customHeight="false" outlineLevel="0" collapsed="false">
      <c r="A193" s="51"/>
      <c r="B193" s="11" t="str">
        <f aca="false">IF(A193="","",INT((A193-'Start here'!$C$5)/7)+1)</f>
        <v/>
      </c>
      <c r="C193" s="20"/>
      <c r="D193" s="20"/>
      <c r="E193" s="20"/>
      <c r="F193" s="11" t="str">
        <f aca="false">IF(COUNT(C193:E193)&lt;3,"",SUM(C193:E193))</f>
        <v/>
      </c>
      <c r="G193" s="12" t="str">
        <f aca="false">IF(F193="","",IF(F193&lt;=6,"Technique and mobility only",IF(F193&lt;=8,"Main lift top set only; −1 set on every accessory; RPE cap 7","Train as planned")))</f>
        <v/>
      </c>
      <c r="H193" s="20"/>
      <c r="I193" s="20"/>
      <c r="J193" s="54"/>
      <c r="K193" s="12" t="str">
        <f aca="false">IF(I193="","",IF(I193&gt;=5,"Drop that pattern this week",IF(I193&gt;=3,"Swap that exercise","OK")))</f>
        <v/>
      </c>
      <c r="L193" s="20"/>
    </row>
    <row r="194" customFormat="false" ht="15" hidden="false" customHeight="false" outlineLevel="0" collapsed="false">
      <c r="A194" s="51"/>
      <c r="B194" s="11" t="str">
        <f aca="false">IF(A194="","",INT((A194-'Start here'!$C$5)/7)+1)</f>
        <v/>
      </c>
      <c r="C194" s="20"/>
      <c r="D194" s="20"/>
      <c r="E194" s="20"/>
      <c r="F194" s="11" t="str">
        <f aca="false">IF(COUNT(C194:E194)&lt;3,"",SUM(C194:E194))</f>
        <v/>
      </c>
      <c r="G194" s="12" t="str">
        <f aca="false">IF(F194="","",IF(F194&lt;=6,"Technique and mobility only",IF(F194&lt;=8,"Main lift top set only; −1 set on every accessory; RPE cap 7","Train as planned")))</f>
        <v/>
      </c>
      <c r="H194" s="20"/>
      <c r="I194" s="20"/>
      <c r="J194" s="54"/>
      <c r="K194" s="12" t="str">
        <f aca="false">IF(I194="","",IF(I194&gt;=5,"Drop that pattern this week",IF(I194&gt;=3,"Swap that exercise","OK")))</f>
        <v/>
      </c>
      <c r="L194" s="20"/>
    </row>
    <row r="195" customFormat="false" ht="15" hidden="false" customHeight="false" outlineLevel="0" collapsed="false">
      <c r="A195" s="51"/>
      <c r="B195" s="11" t="str">
        <f aca="false">IF(A195="","",INT((A195-'Start here'!$C$5)/7)+1)</f>
        <v/>
      </c>
      <c r="C195" s="20"/>
      <c r="D195" s="20"/>
      <c r="E195" s="20"/>
      <c r="F195" s="11" t="str">
        <f aca="false">IF(COUNT(C195:E195)&lt;3,"",SUM(C195:E195))</f>
        <v/>
      </c>
      <c r="G195" s="12" t="str">
        <f aca="false">IF(F195="","",IF(F195&lt;=6,"Technique and mobility only",IF(F195&lt;=8,"Main lift top set only; −1 set on every accessory; RPE cap 7","Train as planned")))</f>
        <v/>
      </c>
      <c r="H195" s="20"/>
      <c r="I195" s="20"/>
      <c r="J195" s="54"/>
      <c r="K195" s="12" t="str">
        <f aca="false">IF(I195="","",IF(I195&gt;=5,"Drop that pattern this week",IF(I195&gt;=3,"Swap that exercise","OK")))</f>
        <v/>
      </c>
      <c r="L195" s="20"/>
    </row>
    <row r="196" customFormat="false" ht="15" hidden="false" customHeight="false" outlineLevel="0" collapsed="false">
      <c r="A196" s="51"/>
      <c r="B196" s="11" t="str">
        <f aca="false">IF(A196="","",INT((A196-'Start here'!$C$5)/7)+1)</f>
        <v/>
      </c>
      <c r="C196" s="20"/>
      <c r="D196" s="20"/>
      <c r="E196" s="20"/>
      <c r="F196" s="11" t="str">
        <f aca="false">IF(COUNT(C196:E196)&lt;3,"",SUM(C196:E196))</f>
        <v/>
      </c>
      <c r="G196" s="12" t="str">
        <f aca="false">IF(F196="","",IF(F196&lt;=6,"Technique and mobility only",IF(F196&lt;=8,"Main lift top set only; −1 set on every accessory; RPE cap 7","Train as planned")))</f>
        <v/>
      </c>
      <c r="H196" s="20"/>
      <c r="I196" s="20"/>
      <c r="J196" s="54"/>
      <c r="K196" s="12" t="str">
        <f aca="false">IF(I196="","",IF(I196&gt;=5,"Drop that pattern this week",IF(I196&gt;=3,"Swap that exercise","OK")))</f>
        <v/>
      </c>
      <c r="L196" s="20"/>
    </row>
    <row r="197" customFormat="false" ht="15" hidden="false" customHeight="false" outlineLevel="0" collapsed="false">
      <c r="A197" s="51"/>
      <c r="B197" s="11" t="str">
        <f aca="false">IF(A197="","",INT((A197-'Start here'!$C$5)/7)+1)</f>
        <v/>
      </c>
      <c r="C197" s="20"/>
      <c r="D197" s="20"/>
      <c r="E197" s="20"/>
      <c r="F197" s="11" t="str">
        <f aca="false">IF(COUNT(C197:E197)&lt;3,"",SUM(C197:E197))</f>
        <v/>
      </c>
      <c r="G197" s="12" t="str">
        <f aca="false">IF(F197="","",IF(F197&lt;=6,"Technique and mobility only",IF(F197&lt;=8,"Main lift top set only; −1 set on every accessory; RPE cap 7","Train as planned")))</f>
        <v/>
      </c>
      <c r="H197" s="20"/>
      <c r="I197" s="20"/>
      <c r="J197" s="54"/>
      <c r="K197" s="12" t="str">
        <f aca="false">IF(I197="","",IF(I197&gt;=5,"Drop that pattern this week",IF(I197&gt;=3,"Swap that exercise","OK")))</f>
        <v/>
      </c>
      <c r="L197" s="20"/>
    </row>
    <row r="198" customFormat="false" ht="15" hidden="false" customHeight="false" outlineLevel="0" collapsed="false">
      <c r="A198" s="51"/>
      <c r="B198" s="11" t="str">
        <f aca="false">IF(A198="","",INT((A198-'Start here'!$C$5)/7)+1)</f>
        <v/>
      </c>
      <c r="C198" s="20"/>
      <c r="D198" s="20"/>
      <c r="E198" s="20"/>
      <c r="F198" s="11" t="str">
        <f aca="false">IF(COUNT(C198:E198)&lt;3,"",SUM(C198:E198))</f>
        <v/>
      </c>
      <c r="G198" s="12" t="str">
        <f aca="false">IF(F198="","",IF(F198&lt;=6,"Technique and mobility only",IF(F198&lt;=8,"Main lift top set only; −1 set on every accessory; RPE cap 7","Train as planned")))</f>
        <v/>
      </c>
      <c r="H198" s="20"/>
      <c r="I198" s="20"/>
      <c r="J198" s="54"/>
      <c r="K198" s="12" t="str">
        <f aca="false">IF(I198="","",IF(I198&gt;=5,"Drop that pattern this week",IF(I198&gt;=3,"Swap that exercise","OK")))</f>
        <v/>
      </c>
      <c r="L198" s="20"/>
    </row>
    <row r="199" customFormat="false" ht="15" hidden="false" customHeight="false" outlineLevel="0" collapsed="false">
      <c r="A199" s="51"/>
      <c r="B199" s="11" t="str">
        <f aca="false">IF(A199="","",INT((A199-'Start here'!$C$5)/7)+1)</f>
        <v/>
      </c>
      <c r="C199" s="20"/>
      <c r="D199" s="20"/>
      <c r="E199" s="20"/>
      <c r="F199" s="11" t="str">
        <f aca="false">IF(COUNT(C199:E199)&lt;3,"",SUM(C199:E199))</f>
        <v/>
      </c>
      <c r="G199" s="12" t="str">
        <f aca="false">IF(F199="","",IF(F199&lt;=6,"Technique and mobility only",IF(F199&lt;=8,"Main lift top set only; −1 set on every accessory; RPE cap 7","Train as planned")))</f>
        <v/>
      </c>
      <c r="H199" s="20"/>
      <c r="I199" s="20"/>
      <c r="J199" s="54"/>
      <c r="K199" s="12" t="str">
        <f aca="false">IF(I199="","",IF(I199&gt;=5,"Drop that pattern this week",IF(I199&gt;=3,"Swap that exercise","OK")))</f>
        <v/>
      </c>
      <c r="L199" s="20"/>
    </row>
    <row r="200" customFormat="false" ht="15" hidden="false" customHeight="false" outlineLevel="0" collapsed="false">
      <c r="A200" s="51"/>
      <c r="B200" s="11" t="str">
        <f aca="false">IF(A200="","",INT((A200-'Start here'!$C$5)/7)+1)</f>
        <v/>
      </c>
      <c r="C200" s="20"/>
      <c r="D200" s="20"/>
      <c r="E200" s="20"/>
      <c r="F200" s="11" t="str">
        <f aca="false">IF(COUNT(C200:E200)&lt;3,"",SUM(C200:E200))</f>
        <v/>
      </c>
      <c r="G200" s="12" t="str">
        <f aca="false">IF(F200="","",IF(F200&lt;=6,"Technique and mobility only",IF(F200&lt;=8,"Main lift top set only; −1 set on every accessory; RPE cap 7","Train as planned")))</f>
        <v/>
      </c>
      <c r="H200" s="20"/>
      <c r="I200" s="20"/>
      <c r="J200" s="54"/>
      <c r="K200" s="12" t="str">
        <f aca="false">IF(I200="","",IF(I200&gt;=5,"Drop that pattern this week",IF(I200&gt;=3,"Swap that exercise","OK")))</f>
        <v/>
      </c>
      <c r="L200" s="20"/>
    </row>
    <row r="201" customFormat="false" ht="15" hidden="false" customHeight="false" outlineLevel="0" collapsed="false">
      <c r="A201" s="51"/>
      <c r="B201" s="11" t="str">
        <f aca="false">IF(A201="","",INT((A201-'Start here'!$C$5)/7)+1)</f>
        <v/>
      </c>
      <c r="C201" s="20"/>
      <c r="D201" s="20"/>
      <c r="E201" s="20"/>
      <c r="F201" s="11" t="str">
        <f aca="false">IF(COUNT(C201:E201)&lt;3,"",SUM(C201:E201))</f>
        <v/>
      </c>
      <c r="G201" s="12" t="str">
        <f aca="false">IF(F201="","",IF(F201&lt;=6,"Technique and mobility only",IF(F201&lt;=8,"Main lift top set only; −1 set on every accessory; RPE cap 7","Train as planned")))</f>
        <v/>
      </c>
      <c r="H201" s="20"/>
      <c r="I201" s="20"/>
      <c r="J201" s="54"/>
      <c r="K201" s="12" t="str">
        <f aca="false">IF(I201="","",IF(I201&gt;=5,"Drop that pattern this week",IF(I201&gt;=3,"Swap that exercise","OK")))</f>
        <v/>
      </c>
      <c r="L201" s="20"/>
    </row>
    <row r="202" customFormat="false" ht="15" hidden="false" customHeight="false" outlineLevel="0" collapsed="false">
      <c r="A202" s="51"/>
      <c r="B202" s="11" t="str">
        <f aca="false">IF(A202="","",INT((A202-'Start here'!$C$5)/7)+1)</f>
        <v/>
      </c>
      <c r="C202" s="20"/>
      <c r="D202" s="20"/>
      <c r="E202" s="20"/>
      <c r="F202" s="11" t="str">
        <f aca="false">IF(COUNT(C202:E202)&lt;3,"",SUM(C202:E202))</f>
        <v/>
      </c>
      <c r="G202" s="12" t="str">
        <f aca="false">IF(F202="","",IF(F202&lt;=6,"Technique and mobility only",IF(F202&lt;=8,"Main lift top set only; −1 set on every accessory; RPE cap 7","Train as planned")))</f>
        <v/>
      </c>
      <c r="H202" s="20"/>
      <c r="I202" s="20"/>
      <c r="J202" s="54"/>
      <c r="K202" s="12" t="str">
        <f aca="false">IF(I202="","",IF(I202&gt;=5,"Drop that pattern this week",IF(I202&gt;=3,"Swap that exercise","OK")))</f>
        <v/>
      </c>
      <c r="L202" s="20"/>
    </row>
    <row r="203" customFormat="false" ht="15" hidden="false" customHeight="false" outlineLevel="0" collapsed="false">
      <c r="A203" s="51"/>
      <c r="B203" s="11" t="str">
        <f aca="false">IF(A203="","",INT((A203-'Start here'!$C$5)/7)+1)</f>
        <v/>
      </c>
      <c r="C203" s="20"/>
      <c r="D203" s="20"/>
      <c r="E203" s="20"/>
      <c r="F203" s="11" t="str">
        <f aca="false">IF(COUNT(C203:E203)&lt;3,"",SUM(C203:E203))</f>
        <v/>
      </c>
      <c r="G203" s="12" t="str">
        <f aca="false">IF(F203="","",IF(F203&lt;=6,"Technique and mobility only",IF(F203&lt;=8,"Main lift top set only; −1 set on every accessory; RPE cap 7","Train as planned")))</f>
        <v/>
      </c>
      <c r="H203" s="20"/>
      <c r="I203" s="20"/>
      <c r="J203" s="54"/>
      <c r="K203" s="12" t="str">
        <f aca="false">IF(I203="","",IF(I203&gt;=5,"Drop that pattern this week",IF(I203&gt;=3,"Swap that exercise","OK")))</f>
        <v/>
      </c>
      <c r="L203" s="20"/>
    </row>
    <row r="204" customFormat="false" ht="15" hidden="false" customHeight="false" outlineLevel="0" collapsed="false">
      <c r="A204" s="51"/>
      <c r="B204" s="11" t="str">
        <f aca="false">IF(A204="","",INT((A204-'Start here'!$C$5)/7)+1)</f>
        <v/>
      </c>
      <c r="C204" s="20"/>
      <c r="D204" s="20"/>
      <c r="E204" s="20"/>
      <c r="F204" s="11" t="str">
        <f aca="false">IF(COUNT(C204:E204)&lt;3,"",SUM(C204:E204))</f>
        <v/>
      </c>
      <c r="G204" s="12" t="str">
        <f aca="false">IF(F204="","",IF(F204&lt;=6,"Technique and mobility only",IF(F204&lt;=8,"Main lift top set only; −1 set on every accessory; RPE cap 7","Train as planned")))</f>
        <v/>
      </c>
      <c r="H204" s="20"/>
      <c r="I204" s="20"/>
      <c r="J204" s="54"/>
      <c r="K204" s="12" t="str">
        <f aca="false">IF(I204="","",IF(I204&gt;=5,"Drop that pattern this week",IF(I204&gt;=3,"Swap that exercise","OK")))</f>
        <v/>
      </c>
      <c r="L204" s="20"/>
    </row>
    <row r="205" customFormat="false" ht="15" hidden="false" customHeight="false" outlineLevel="0" collapsed="false">
      <c r="A205" s="51"/>
      <c r="B205" s="11" t="str">
        <f aca="false">IF(A205="","",INT((A205-'Start here'!$C$5)/7)+1)</f>
        <v/>
      </c>
      <c r="C205" s="20"/>
      <c r="D205" s="20"/>
      <c r="E205" s="20"/>
      <c r="F205" s="11" t="str">
        <f aca="false">IF(COUNT(C205:E205)&lt;3,"",SUM(C205:E205))</f>
        <v/>
      </c>
      <c r="G205" s="12" t="str">
        <f aca="false">IF(F205="","",IF(F205&lt;=6,"Technique and mobility only",IF(F205&lt;=8,"Main lift top set only; −1 set on every accessory; RPE cap 7","Train as planned")))</f>
        <v/>
      </c>
      <c r="H205" s="20"/>
      <c r="I205" s="20"/>
      <c r="J205" s="54"/>
      <c r="K205" s="12" t="str">
        <f aca="false">IF(I205="","",IF(I205&gt;=5,"Drop that pattern this week",IF(I205&gt;=3,"Swap that exercise","OK")))</f>
        <v/>
      </c>
      <c r="L205" s="20"/>
    </row>
    <row r="206" customFormat="false" ht="15" hidden="false" customHeight="false" outlineLevel="0" collapsed="false">
      <c r="A206" s="51"/>
      <c r="B206" s="11" t="str">
        <f aca="false">IF(A206="","",INT((A206-'Start here'!$C$5)/7)+1)</f>
        <v/>
      </c>
      <c r="C206" s="20"/>
      <c r="D206" s="20"/>
      <c r="E206" s="20"/>
      <c r="F206" s="11" t="str">
        <f aca="false">IF(COUNT(C206:E206)&lt;3,"",SUM(C206:E206))</f>
        <v/>
      </c>
      <c r="G206" s="12" t="str">
        <f aca="false">IF(F206="","",IF(F206&lt;=6,"Technique and mobility only",IF(F206&lt;=8,"Main lift top set only; −1 set on every accessory; RPE cap 7","Train as planned")))</f>
        <v/>
      </c>
      <c r="H206" s="20"/>
      <c r="I206" s="20"/>
      <c r="J206" s="54"/>
      <c r="K206" s="12" t="str">
        <f aca="false">IF(I206="","",IF(I206&gt;=5,"Drop that pattern this week",IF(I206&gt;=3,"Swap that exercise","OK")))</f>
        <v/>
      </c>
      <c r="L206" s="20"/>
    </row>
    <row r="207" customFormat="false" ht="15" hidden="false" customHeight="false" outlineLevel="0" collapsed="false">
      <c r="A207" s="51"/>
      <c r="B207" s="11" t="str">
        <f aca="false">IF(A207="","",INT((A207-'Start here'!$C$5)/7)+1)</f>
        <v/>
      </c>
      <c r="C207" s="20"/>
      <c r="D207" s="20"/>
      <c r="E207" s="20"/>
      <c r="F207" s="11" t="str">
        <f aca="false">IF(COUNT(C207:E207)&lt;3,"",SUM(C207:E207))</f>
        <v/>
      </c>
      <c r="G207" s="12" t="str">
        <f aca="false">IF(F207="","",IF(F207&lt;=6,"Technique and mobility only",IF(F207&lt;=8,"Main lift top set only; −1 set on every accessory; RPE cap 7","Train as planned")))</f>
        <v/>
      </c>
      <c r="H207" s="20"/>
      <c r="I207" s="20"/>
      <c r="J207" s="54"/>
      <c r="K207" s="12" t="str">
        <f aca="false">IF(I207="","",IF(I207&gt;=5,"Drop that pattern this week",IF(I207&gt;=3,"Swap that exercise","OK")))</f>
        <v/>
      </c>
      <c r="L207" s="20"/>
    </row>
    <row r="208" customFormat="false" ht="15" hidden="false" customHeight="false" outlineLevel="0" collapsed="false">
      <c r="A208" s="51"/>
      <c r="B208" s="11" t="str">
        <f aca="false">IF(A208="","",INT((A208-'Start here'!$C$5)/7)+1)</f>
        <v/>
      </c>
      <c r="C208" s="20"/>
      <c r="D208" s="20"/>
      <c r="E208" s="20"/>
      <c r="F208" s="11" t="str">
        <f aca="false">IF(COUNT(C208:E208)&lt;3,"",SUM(C208:E208))</f>
        <v/>
      </c>
      <c r="G208" s="12" t="str">
        <f aca="false">IF(F208="","",IF(F208&lt;=6,"Technique and mobility only",IF(F208&lt;=8,"Main lift top set only; −1 set on every accessory; RPE cap 7","Train as planned")))</f>
        <v/>
      </c>
      <c r="H208" s="20"/>
      <c r="I208" s="20"/>
      <c r="J208" s="54"/>
      <c r="K208" s="12" t="str">
        <f aca="false">IF(I208="","",IF(I208&gt;=5,"Drop that pattern this week",IF(I208&gt;=3,"Swap that exercise","OK")))</f>
        <v/>
      </c>
      <c r="L208" s="20"/>
    </row>
    <row r="209" customFormat="false" ht="15" hidden="false" customHeight="false" outlineLevel="0" collapsed="false">
      <c r="A209" s="51"/>
      <c r="B209" s="11" t="str">
        <f aca="false">IF(A209="","",INT((A209-'Start here'!$C$5)/7)+1)</f>
        <v/>
      </c>
      <c r="C209" s="20"/>
      <c r="D209" s="20"/>
      <c r="E209" s="20"/>
      <c r="F209" s="11" t="str">
        <f aca="false">IF(COUNT(C209:E209)&lt;3,"",SUM(C209:E209))</f>
        <v/>
      </c>
      <c r="G209" s="12" t="str">
        <f aca="false">IF(F209="","",IF(F209&lt;=6,"Technique and mobility only",IF(F209&lt;=8,"Main lift top set only; −1 set on every accessory; RPE cap 7","Train as planned")))</f>
        <v/>
      </c>
      <c r="H209" s="20"/>
      <c r="I209" s="20"/>
      <c r="J209" s="54"/>
      <c r="K209" s="12" t="str">
        <f aca="false">IF(I209="","",IF(I209&gt;=5,"Drop that pattern this week",IF(I209&gt;=3,"Swap that exercise","OK")))</f>
        <v/>
      </c>
      <c r="L209" s="20"/>
    </row>
    <row r="210" customFormat="false" ht="15" hidden="false" customHeight="false" outlineLevel="0" collapsed="false">
      <c r="A210" s="51"/>
      <c r="B210" s="11" t="str">
        <f aca="false">IF(A210="","",INT((A210-'Start here'!$C$5)/7)+1)</f>
        <v/>
      </c>
      <c r="C210" s="20"/>
      <c r="D210" s="20"/>
      <c r="E210" s="20"/>
      <c r="F210" s="11" t="str">
        <f aca="false">IF(COUNT(C210:E210)&lt;3,"",SUM(C210:E210))</f>
        <v/>
      </c>
      <c r="G210" s="12" t="str">
        <f aca="false">IF(F210="","",IF(F210&lt;=6,"Technique and mobility only",IF(F210&lt;=8,"Main lift top set only; −1 set on every accessory; RPE cap 7","Train as planned")))</f>
        <v/>
      </c>
      <c r="H210" s="20"/>
      <c r="I210" s="20"/>
      <c r="J210" s="54"/>
      <c r="K210" s="12" t="str">
        <f aca="false">IF(I210="","",IF(I210&gt;=5,"Drop that pattern this week",IF(I210&gt;=3,"Swap that exercise","OK")))</f>
        <v/>
      </c>
      <c r="L210" s="20"/>
    </row>
    <row r="211" customFormat="false" ht="15" hidden="false" customHeight="false" outlineLevel="0" collapsed="false">
      <c r="A211" s="51"/>
      <c r="B211" s="11" t="str">
        <f aca="false">IF(A211="","",INT((A211-'Start here'!$C$5)/7)+1)</f>
        <v/>
      </c>
      <c r="C211" s="20"/>
      <c r="D211" s="20"/>
      <c r="E211" s="20"/>
      <c r="F211" s="11" t="str">
        <f aca="false">IF(COUNT(C211:E211)&lt;3,"",SUM(C211:E211))</f>
        <v/>
      </c>
      <c r="G211" s="12" t="str">
        <f aca="false">IF(F211="","",IF(F211&lt;=6,"Technique and mobility only",IF(F211&lt;=8,"Main lift top set only; −1 set on every accessory; RPE cap 7","Train as planned")))</f>
        <v/>
      </c>
      <c r="H211" s="20"/>
      <c r="I211" s="20"/>
      <c r="J211" s="54"/>
      <c r="K211" s="12" t="str">
        <f aca="false">IF(I211="","",IF(I211&gt;=5,"Drop that pattern this week",IF(I211&gt;=3,"Swap that exercise","OK")))</f>
        <v/>
      </c>
      <c r="L211" s="20"/>
    </row>
    <row r="212" customFormat="false" ht="15" hidden="false" customHeight="false" outlineLevel="0" collapsed="false">
      <c r="A212" s="51"/>
      <c r="B212" s="11" t="str">
        <f aca="false">IF(A212="","",INT((A212-'Start here'!$C$5)/7)+1)</f>
        <v/>
      </c>
      <c r="C212" s="20"/>
      <c r="D212" s="20"/>
      <c r="E212" s="20"/>
      <c r="F212" s="11" t="str">
        <f aca="false">IF(COUNT(C212:E212)&lt;3,"",SUM(C212:E212))</f>
        <v/>
      </c>
      <c r="G212" s="12" t="str">
        <f aca="false">IF(F212="","",IF(F212&lt;=6,"Technique and mobility only",IF(F212&lt;=8,"Main lift top set only; −1 set on every accessory; RPE cap 7","Train as planned")))</f>
        <v/>
      </c>
      <c r="H212" s="20"/>
      <c r="I212" s="20"/>
      <c r="J212" s="54"/>
      <c r="K212" s="12" t="str">
        <f aca="false">IF(I212="","",IF(I212&gt;=5,"Drop that pattern this week",IF(I212&gt;=3,"Swap that exercise","OK")))</f>
        <v/>
      </c>
      <c r="L212" s="20"/>
    </row>
    <row r="213" customFormat="false" ht="15" hidden="false" customHeight="false" outlineLevel="0" collapsed="false">
      <c r="A213" s="51"/>
      <c r="B213" s="11" t="str">
        <f aca="false">IF(A213="","",INT((A213-'Start here'!$C$5)/7)+1)</f>
        <v/>
      </c>
      <c r="C213" s="20"/>
      <c r="D213" s="20"/>
      <c r="E213" s="20"/>
      <c r="F213" s="11" t="str">
        <f aca="false">IF(COUNT(C213:E213)&lt;3,"",SUM(C213:E213))</f>
        <v/>
      </c>
      <c r="G213" s="12" t="str">
        <f aca="false">IF(F213="","",IF(F213&lt;=6,"Technique and mobility only",IF(F213&lt;=8,"Main lift top set only; −1 set on every accessory; RPE cap 7","Train as planned")))</f>
        <v/>
      </c>
      <c r="H213" s="20"/>
      <c r="I213" s="20"/>
      <c r="J213" s="54"/>
      <c r="K213" s="12" t="str">
        <f aca="false">IF(I213="","",IF(I213&gt;=5,"Drop that pattern this week",IF(I213&gt;=3,"Swap that exercise","OK")))</f>
        <v/>
      </c>
      <c r="L213" s="20"/>
    </row>
    <row r="214" customFormat="false" ht="15" hidden="false" customHeight="false" outlineLevel="0" collapsed="false">
      <c r="A214" s="51"/>
      <c r="B214" s="11" t="str">
        <f aca="false">IF(A214="","",INT((A214-'Start here'!$C$5)/7)+1)</f>
        <v/>
      </c>
      <c r="C214" s="20"/>
      <c r="D214" s="20"/>
      <c r="E214" s="20"/>
      <c r="F214" s="11" t="str">
        <f aca="false">IF(COUNT(C214:E214)&lt;3,"",SUM(C214:E214))</f>
        <v/>
      </c>
      <c r="G214" s="12" t="str">
        <f aca="false">IF(F214="","",IF(F214&lt;=6,"Technique and mobility only",IF(F214&lt;=8,"Main lift top set only; −1 set on every accessory; RPE cap 7","Train as planned")))</f>
        <v/>
      </c>
      <c r="H214" s="20"/>
      <c r="I214" s="20"/>
      <c r="J214" s="54"/>
      <c r="K214" s="12" t="str">
        <f aca="false">IF(I214="","",IF(I214&gt;=5,"Drop that pattern this week",IF(I214&gt;=3,"Swap that exercise","OK")))</f>
        <v/>
      </c>
      <c r="L214" s="20"/>
    </row>
    <row r="215" customFormat="false" ht="15" hidden="false" customHeight="false" outlineLevel="0" collapsed="false">
      <c r="A215" s="51"/>
      <c r="B215" s="11" t="str">
        <f aca="false">IF(A215="","",INT((A215-'Start here'!$C$5)/7)+1)</f>
        <v/>
      </c>
      <c r="C215" s="20"/>
      <c r="D215" s="20"/>
      <c r="E215" s="20"/>
      <c r="F215" s="11" t="str">
        <f aca="false">IF(COUNT(C215:E215)&lt;3,"",SUM(C215:E215))</f>
        <v/>
      </c>
      <c r="G215" s="12" t="str">
        <f aca="false">IF(F215="","",IF(F215&lt;=6,"Technique and mobility only",IF(F215&lt;=8,"Main lift top set only; −1 set on every accessory; RPE cap 7","Train as planned")))</f>
        <v/>
      </c>
      <c r="H215" s="20"/>
      <c r="I215" s="20"/>
      <c r="J215" s="54"/>
      <c r="K215" s="12" t="str">
        <f aca="false">IF(I215="","",IF(I215&gt;=5,"Drop that pattern this week",IF(I215&gt;=3,"Swap that exercise","OK")))</f>
        <v/>
      </c>
      <c r="L215" s="20"/>
    </row>
    <row r="216" customFormat="false" ht="15" hidden="false" customHeight="false" outlineLevel="0" collapsed="false">
      <c r="A216" s="51"/>
      <c r="B216" s="11" t="str">
        <f aca="false">IF(A216="","",INT((A216-'Start here'!$C$5)/7)+1)</f>
        <v/>
      </c>
      <c r="C216" s="20"/>
      <c r="D216" s="20"/>
      <c r="E216" s="20"/>
      <c r="F216" s="11" t="str">
        <f aca="false">IF(COUNT(C216:E216)&lt;3,"",SUM(C216:E216))</f>
        <v/>
      </c>
      <c r="G216" s="12" t="str">
        <f aca="false">IF(F216="","",IF(F216&lt;=6,"Technique and mobility only",IF(F216&lt;=8,"Main lift top set only; −1 set on every accessory; RPE cap 7","Train as planned")))</f>
        <v/>
      </c>
      <c r="H216" s="20"/>
      <c r="I216" s="20"/>
      <c r="J216" s="54"/>
      <c r="K216" s="12" t="str">
        <f aca="false">IF(I216="","",IF(I216&gt;=5,"Drop that pattern this week",IF(I216&gt;=3,"Swap that exercise","OK")))</f>
        <v/>
      </c>
      <c r="L216" s="20"/>
    </row>
    <row r="217" customFormat="false" ht="15" hidden="false" customHeight="false" outlineLevel="0" collapsed="false">
      <c r="A217" s="51"/>
      <c r="B217" s="11" t="str">
        <f aca="false">IF(A217="","",INT((A217-'Start here'!$C$5)/7)+1)</f>
        <v/>
      </c>
      <c r="C217" s="20"/>
      <c r="D217" s="20"/>
      <c r="E217" s="20"/>
      <c r="F217" s="11" t="str">
        <f aca="false">IF(COUNT(C217:E217)&lt;3,"",SUM(C217:E217))</f>
        <v/>
      </c>
      <c r="G217" s="12" t="str">
        <f aca="false">IF(F217="","",IF(F217&lt;=6,"Technique and mobility only",IF(F217&lt;=8,"Main lift top set only; −1 set on every accessory; RPE cap 7","Train as planned")))</f>
        <v/>
      </c>
      <c r="H217" s="20"/>
      <c r="I217" s="20"/>
      <c r="J217" s="54"/>
      <c r="K217" s="12" t="str">
        <f aca="false">IF(I217="","",IF(I217&gt;=5,"Drop that pattern this week",IF(I217&gt;=3,"Swap that exercise","OK")))</f>
        <v/>
      </c>
      <c r="L217" s="20"/>
    </row>
    <row r="218" customFormat="false" ht="15" hidden="false" customHeight="false" outlineLevel="0" collapsed="false">
      <c r="A218" s="51"/>
      <c r="B218" s="11" t="str">
        <f aca="false">IF(A218="","",INT((A218-'Start here'!$C$5)/7)+1)</f>
        <v/>
      </c>
      <c r="C218" s="20"/>
      <c r="D218" s="20"/>
      <c r="E218" s="20"/>
      <c r="F218" s="11" t="str">
        <f aca="false">IF(COUNT(C218:E218)&lt;3,"",SUM(C218:E218))</f>
        <v/>
      </c>
      <c r="G218" s="12" t="str">
        <f aca="false">IF(F218="","",IF(F218&lt;=6,"Technique and mobility only",IF(F218&lt;=8,"Main lift top set only; −1 set on every accessory; RPE cap 7","Train as planned")))</f>
        <v/>
      </c>
      <c r="H218" s="20"/>
      <c r="I218" s="20"/>
      <c r="J218" s="54"/>
      <c r="K218" s="12" t="str">
        <f aca="false">IF(I218="","",IF(I218&gt;=5,"Drop that pattern this week",IF(I218&gt;=3,"Swap that exercise","OK")))</f>
        <v/>
      </c>
      <c r="L218" s="20"/>
    </row>
    <row r="219" customFormat="false" ht="15" hidden="false" customHeight="false" outlineLevel="0" collapsed="false">
      <c r="A219" s="51"/>
      <c r="B219" s="11" t="str">
        <f aca="false">IF(A219="","",INT((A219-'Start here'!$C$5)/7)+1)</f>
        <v/>
      </c>
      <c r="C219" s="20"/>
      <c r="D219" s="20"/>
      <c r="E219" s="20"/>
      <c r="F219" s="11" t="str">
        <f aca="false">IF(COUNT(C219:E219)&lt;3,"",SUM(C219:E219))</f>
        <v/>
      </c>
      <c r="G219" s="12" t="str">
        <f aca="false">IF(F219="","",IF(F219&lt;=6,"Technique and mobility only",IF(F219&lt;=8,"Main lift top set only; −1 set on every accessory; RPE cap 7","Train as planned")))</f>
        <v/>
      </c>
      <c r="H219" s="20"/>
      <c r="I219" s="20"/>
      <c r="J219" s="54"/>
      <c r="K219" s="12" t="str">
        <f aca="false">IF(I219="","",IF(I219&gt;=5,"Drop that pattern this week",IF(I219&gt;=3,"Swap that exercise","OK")))</f>
        <v/>
      </c>
      <c r="L219" s="20"/>
    </row>
    <row r="220" customFormat="false" ht="15" hidden="false" customHeight="false" outlineLevel="0" collapsed="false">
      <c r="A220" s="51"/>
      <c r="B220" s="11" t="str">
        <f aca="false">IF(A220="","",INT((A220-'Start here'!$C$5)/7)+1)</f>
        <v/>
      </c>
      <c r="C220" s="20"/>
      <c r="D220" s="20"/>
      <c r="E220" s="20"/>
      <c r="F220" s="11" t="str">
        <f aca="false">IF(COUNT(C220:E220)&lt;3,"",SUM(C220:E220))</f>
        <v/>
      </c>
      <c r="G220" s="12" t="str">
        <f aca="false">IF(F220="","",IF(F220&lt;=6,"Technique and mobility only",IF(F220&lt;=8,"Main lift top set only; −1 set on every accessory; RPE cap 7","Train as planned")))</f>
        <v/>
      </c>
      <c r="H220" s="20"/>
      <c r="I220" s="20"/>
      <c r="J220" s="54"/>
      <c r="K220" s="12" t="str">
        <f aca="false">IF(I220="","",IF(I220&gt;=5,"Drop that pattern this week",IF(I220&gt;=3,"Swap that exercise","OK")))</f>
        <v/>
      </c>
      <c r="L220" s="20"/>
    </row>
    <row r="221" customFormat="false" ht="15" hidden="false" customHeight="false" outlineLevel="0" collapsed="false">
      <c r="A221" s="51"/>
      <c r="B221" s="11" t="str">
        <f aca="false">IF(A221="","",INT((A221-'Start here'!$C$5)/7)+1)</f>
        <v/>
      </c>
      <c r="C221" s="20"/>
      <c r="D221" s="20"/>
      <c r="E221" s="20"/>
      <c r="F221" s="11" t="str">
        <f aca="false">IF(COUNT(C221:E221)&lt;3,"",SUM(C221:E221))</f>
        <v/>
      </c>
      <c r="G221" s="12" t="str">
        <f aca="false">IF(F221="","",IF(F221&lt;=6,"Technique and mobility only",IF(F221&lt;=8,"Main lift top set only; −1 set on every accessory; RPE cap 7","Train as planned")))</f>
        <v/>
      </c>
      <c r="H221" s="20"/>
      <c r="I221" s="20"/>
      <c r="J221" s="54"/>
      <c r="K221" s="12" t="str">
        <f aca="false">IF(I221="","",IF(I221&gt;=5,"Drop that pattern this week",IF(I221&gt;=3,"Swap that exercise","OK")))</f>
        <v/>
      </c>
      <c r="L221" s="20"/>
    </row>
    <row r="222" customFormat="false" ht="15" hidden="false" customHeight="false" outlineLevel="0" collapsed="false">
      <c r="A222" s="51"/>
      <c r="B222" s="11" t="str">
        <f aca="false">IF(A222="","",INT((A222-'Start here'!$C$5)/7)+1)</f>
        <v/>
      </c>
      <c r="C222" s="20"/>
      <c r="D222" s="20"/>
      <c r="E222" s="20"/>
      <c r="F222" s="11" t="str">
        <f aca="false">IF(COUNT(C222:E222)&lt;3,"",SUM(C222:E222))</f>
        <v/>
      </c>
      <c r="G222" s="12" t="str">
        <f aca="false">IF(F222="","",IF(F222&lt;=6,"Technique and mobility only",IF(F222&lt;=8,"Main lift top set only; −1 set on every accessory; RPE cap 7","Train as planned")))</f>
        <v/>
      </c>
      <c r="H222" s="20"/>
      <c r="I222" s="20"/>
      <c r="J222" s="54"/>
      <c r="K222" s="12" t="str">
        <f aca="false">IF(I222="","",IF(I222&gt;=5,"Drop that pattern this week",IF(I222&gt;=3,"Swap that exercise","OK")))</f>
        <v/>
      </c>
      <c r="L222" s="20"/>
    </row>
    <row r="223" customFormat="false" ht="15" hidden="false" customHeight="false" outlineLevel="0" collapsed="false">
      <c r="A223" s="51"/>
      <c r="B223" s="11" t="str">
        <f aca="false">IF(A223="","",INT((A223-'Start here'!$C$5)/7)+1)</f>
        <v/>
      </c>
      <c r="C223" s="20"/>
      <c r="D223" s="20"/>
      <c r="E223" s="20"/>
      <c r="F223" s="11" t="str">
        <f aca="false">IF(COUNT(C223:E223)&lt;3,"",SUM(C223:E223))</f>
        <v/>
      </c>
      <c r="G223" s="12" t="str">
        <f aca="false">IF(F223="","",IF(F223&lt;=6,"Technique and mobility only",IF(F223&lt;=8,"Main lift top set only; −1 set on every accessory; RPE cap 7","Train as planned")))</f>
        <v/>
      </c>
      <c r="H223" s="20"/>
      <c r="I223" s="20"/>
      <c r="J223" s="54"/>
      <c r="K223" s="12" t="str">
        <f aca="false">IF(I223="","",IF(I223&gt;=5,"Drop that pattern this week",IF(I223&gt;=3,"Swap that exercise","OK")))</f>
        <v/>
      </c>
      <c r="L223" s="20"/>
    </row>
    <row r="224" customFormat="false" ht="15" hidden="false" customHeight="false" outlineLevel="0" collapsed="false">
      <c r="A224" s="51"/>
      <c r="B224" s="11" t="str">
        <f aca="false">IF(A224="","",INT((A224-'Start here'!$C$5)/7)+1)</f>
        <v/>
      </c>
      <c r="C224" s="20"/>
      <c r="D224" s="20"/>
      <c r="E224" s="20"/>
      <c r="F224" s="11" t="str">
        <f aca="false">IF(COUNT(C224:E224)&lt;3,"",SUM(C224:E224))</f>
        <v/>
      </c>
      <c r="G224" s="12" t="str">
        <f aca="false">IF(F224="","",IF(F224&lt;=6,"Technique and mobility only",IF(F224&lt;=8,"Main lift top set only; −1 set on every accessory; RPE cap 7","Train as planned")))</f>
        <v/>
      </c>
      <c r="H224" s="20"/>
      <c r="I224" s="20"/>
      <c r="J224" s="54"/>
      <c r="K224" s="12" t="str">
        <f aca="false">IF(I224="","",IF(I224&gt;=5,"Drop that pattern this week",IF(I224&gt;=3,"Swap that exercise","OK")))</f>
        <v/>
      </c>
      <c r="L224" s="20"/>
    </row>
    <row r="225" customFormat="false" ht="15" hidden="false" customHeight="false" outlineLevel="0" collapsed="false">
      <c r="A225" s="51"/>
      <c r="B225" s="11" t="str">
        <f aca="false">IF(A225="","",INT((A225-'Start here'!$C$5)/7)+1)</f>
        <v/>
      </c>
      <c r="C225" s="20"/>
      <c r="D225" s="20"/>
      <c r="E225" s="20"/>
      <c r="F225" s="11" t="str">
        <f aca="false">IF(COUNT(C225:E225)&lt;3,"",SUM(C225:E225))</f>
        <v/>
      </c>
      <c r="G225" s="12" t="str">
        <f aca="false">IF(F225="","",IF(F225&lt;=6,"Technique and mobility only",IF(F225&lt;=8,"Main lift top set only; −1 set on every accessory; RPE cap 7","Train as planned")))</f>
        <v/>
      </c>
      <c r="H225" s="20"/>
      <c r="I225" s="20"/>
      <c r="J225" s="54"/>
      <c r="K225" s="12" t="str">
        <f aca="false">IF(I225="","",IF(I225&gt;=5,"Drop that pattern this week",IF(I225&gt;=3,"Swap that exercise","OK")))</f>
        <v/>
      </c>
      <c r="L225" s="20"/>
    </row>
    <row r="226" customFormat="false" ht="15" hidden="false" customHeight="false" outlineLevel="0" collapsed="false">
      <c r="A226" s="51"/>
      <c r="B226" s="11" t="str">
        <f aca="false">IF(A226="","",INT((A226-'Start here'!$C$5)/7)+1)</f>
        <v/>
      </c>
      <c r="C226" s="20"/>
      <c r="D226" s="20"/>
      <c r="E226" s="20"/>
      <c r="F226" s="11" t="str">
        <f aca="false">IF(COUNT(C226:E226)&lt;3,"",SUM(C226:E226))</f>
        <v/>
      </c>
      <c r="G226" s="12" t="str">
        <f aca="false">IF(F226="","",IF(F226&lt;=6,"Technique and mobility only",IF(F226&lt;=8,"Main lift top set only; −1 set on every accessory; RPE cap 7","Train as planned")))</f>
        <v/>
      </c>
      <c r="H226" s="20"/>
      <c r="I226" s="20"/>
      <c r="J226" s="54"/>
      <c r="K226" s="12" t="str">
        <f aca="false">IF(I226="","",IF(I226&gt;=5,"Drop that pattern this week",IF(I226&gt;=3,"Swap that exercise","OK")))</f>
        <v/>
      </c>
      <c r="L226" s="20"/>
    </row>
    <row r="227" customFormat="false" ht="15" hidden="false" customHeight="false" outlineLevel="0" collapsed="false">
      <c r="A227" s="51"/>
      <c r="B227" s="11" t="str">
        <f aca="false">IF(A227="","",INT((A227-'Start here'!$C$5)/7)+1)</f>
        <v/>
      </c>
      <c r="C227" s="20"/>
      <c r="D227" s="20"/>
      <c r="E227" s="20"/>
      <c r="F227" s="11" t="str">
        <f aca="false">IF(COUNT(C227:E227)&lt;3,"",SUM(C227:E227))</f>
        <v/>
      </c>
      <c r="G227" s="12" t="str">
        <f aca="false">IF(F227="","",IF(F227&lt;=6,"Technique and mobility only",IF(F227&lt;=8,"Main lift top set only; −1 set on every accessory; RPE cap 7","Train as planned")))</f>
        <v/>
      </c>
      <c r="H227" s="20"/>
      <c r="I227" s="20"/>
      <c r="J227" s="54"/>
      <c r="K227" s="12" t="str">
        <f aca="false">IF(I227="","",IF(I227&gt;=5,"Drop that pattern this week",IF(I227&gt;=3,"Swap that exercise","OK")))</f>
        <v/>
      </c>
      <c r="L227" s="20"/>
    </row>
    <row r="228" customFormat="false" ht="15" hidden="false" customHeight="false" outlineLevel="0" collapsed="false">
      <c r="A228" s="51"/>
      <c r="B228" s="11" t="str">
        <f aca="false">IF(A228="","",INT((A228-'Start here'!$C$5)/7)+1)</f>
        <v/>
      </c>
      <c r="C228" s="20"/>
      <c r="D228" s="20"/>
      <c r="E228" s="20"/>
      <c r="F228" s="11" t="str">
        <f aca="false">IF(COUNT(C228:E228)&lt;3,"",SUM(C228:E228))</f>
        <v/>
      </c>
      <c r="G228" s="12" t="str">
        <f aca="false">IF(F228="","",IF(F228&lt;=6,"Technique and mobility only",IF(F228&lt;=8,"Main lift top set only; −1 set on every accessory; RPE cap 7","Train as planned")))</f>
        <v/>
      </c>
      <c r="H228" s="20"/>
      <c r="I228" s="20"/>
      <c r="J228" s="54"/>
      <c r="K228" s="12" t="str">
        <f aca="false">IF(I228="","",IF(I228&gt;=5,"Drop that pattern this week",IF(I228&gt;=3,"Swap that exercise","OK")))</f>
        <v/>
      </c>
      <c r="L228" s="20"/>
    </row>
    <row r="229" customFormat="false" ht="15" hidden="false" customHeight="false" outlineLevel="0" collapsed="false">
      <c r="A229" s="51"/>
      <c r="B229" s="11" t="str">
        <f aca="false">IF(A229="","",INT((A229-'Start here'!$C$5)/7)+1)</f>
        <v/>
      </c>
      <c r="C229" s="20"/>
      <c r="D229" s="20"/>
      <c r="E229" s="20"/>
      <c r="F229" s="11" t="str">
        <f aca="false">IF(COUNT(C229:E229)&lt;3,"",SUM(C229:E229))</f>
        <v/>
      </c>
      <c r="G229" s="12" t="str">
        <f aca="false">IF(F229="","",IF(F229&lt;=6,"Technique and mobility only",IF(F229&lt;=8,"Main lift top set only; −1 set on every accessory; RPE cap 7","Train as planned")))</f>
        <v/>
      </c>
      <c r="H229" s="20"/>
      <c r="I229" s="20"/>
      <c r="J229" s="54"/>
      <c r="K229" s="12" t="str">
        <f aca="false">IF(I229="","",IF(I229&gt;=5,"Drop that pattern this week",IF(I229&gt;=3,"Swap that exercise","OK")))</f>
        <v/>
      </c>
      <c r="L229" s="20"/>
    </row>
    <row r="230" customFormat="false" ht="15" hidden="false" customHeight="false" outlineLevel="0" collapsed="false">
      <c r="A230" s="51"/>
      <c r="B230" s="11" t="str">
        <f aca="false">IF(A230="","",INT((A230-'Start here'!$C$5)/7)+1)</f>
        <v/>
      </c>
      <c r="C230" s="20"/>
      <c r="D230" s="20"/>
      <c r="E230" s="20"/>
      <c r="F230" s="11" t="str">
        <f aca="false">IF(COUNT(C230:E230)&lt;3,"",SUM(C230:E230))</f>
        <v/>
      </c>
      <c r="G230" s="12" t="str">
        <f aca="false">IF(F230="","",IF(F230&lt;=6,"Technique and mobility only",IF(F230&lt;=8,"Main lift top set only; −1 set on every accessory; RPE cap 7","Train as planned")))</f>
        <v/>
      </c>
      <c r="H230" s="20"/>
      <c r="I230" s="20"/>
      <c r="J230" s="54"/>
      <c r="K230" s="12" t="str">
        <f aca="false">IF(I230="","",IF(I230&gt;=5,"Drop that pattern this week",IF(I230&gt;=3,"Swap that exercise","OK")))</f>
        <v/>
      </c>
      <c r="L230" s="20"/>
    </row>
    <row r="231" customFormat="false" ht="15" hidden="false" customHeight="false" outlineLevel="0" collapsed="false">
      <c r="A231" s="51"/>
      <c r="B231" s="11" t="str">
        <f aca="false">IF(A231="","",INT((A231-'Start here'!$C$5)/7)+1)</f>
        <v/>
      </c>
      <c r="C231" s="20"/>
      <c r="D231" s="20"/>
      <c r="E231" s="20"/>
      <c r="F231" s="11" t="str">
        <f aca="false">IF(COUNT(C231:E231)&lt;3,"",SUM(C231:E231))</f>
        <v/>
      </c>
      <c r="G231" s="12" t="str">
        <f aca="false">IF(F231="","",IF(F231&lt;=6,"Technique and mobility only",IF(F231&lt;=8,"Main lift top set only; −1 set on every accessory; RPE cap 7","Train as planned")))</f>
        <v/>
      </c>
      <c r="H231" s="20"/>
      <c r="I231" s="20"/>
      <c r="J231" s="54"/>
      <c r="K231" s="12" t="str">
        <f aca="false">IF(I231="","",IF(I231&gt;=5,"Drop that pattern this week",IF(I231&gt;=3,"Swap that exercise","OK")))</f>
        <v/>
      </c>
      <c r="L231" s="20"/>
    </row>
    <row r="232" customFormat="false" ht="15" hidden="false" customHeight="false" outlineLevel="0" collapsed="false">
      <c r="A232" s="51"/>
      <c r="B232" s="11" t="str">
        <f aca="false">IF(A232="","",INT((A232-'Start here'!$C$5)/7)+1)</f>
        <v/>
      </c>
      <c r="C232" s="20"/>
      <c r="D232" s="20"/>
      <c r="E232" s="20"/>
      <c r="F232" s="11" t="str">
        <f aca="false">IF(COUNT(C232:E232)&lt;3,"",SUM(C232:E232))</f>
        <v/>
      </c>
      <c r="G232" s="12" t="str">
        <f aca="false">IF(F232="","",IF(F232&lt;=6,"Technique and mobility only",IF(F232&lt;=8,"Main lift top set only; −1 set on every accessory; RPE cap 7","Train as planned")))</f>
        <v/>
      </c>
      <c r="H232" s="20"/>
      <c r="I232" s="20"/>
      <c r="J232" s="54"/>
      <c r="K232" s="12" t="str">
        <f aca="false">IF(I232="","",IF(I232&gt;=5,"Drop that pattern this week",IF(I232&gt;=3,"Swap that exercise","OK")))</f>
        <v/>
      </c>
      <c r="L232" s="20"/>
    </row>
    <row r="233" customFormat="false" ht="15" hidden="false" customHeight="false" outlineLevel="0" collapsed="false">
      <c r="A233" s="51"/>
      <c r="B233" s="11" t="str">
        <f aca="false">IF(A233="","",INT((A233-'Start here'!$C$5)/7)+1)</f>
        <v/>
      </c>
      <c r="C233" s="20"/>
      <c r="D233" s="20"/>
      <c r="E233" s="20"/>
      <c r="F233" s="11" t="str">
        <f aca="false">IF(COUNT(C233:E233)&lt;3,"",SUM(C233:E233))</f>
        <v/>
      </c>
      <c r="G233" s="12" t="str">
        <f aca="false">IF(F233="","",IF(F233&lt;=6,"Technique and mobility only",IF(F233&lt;=8,"Main lift top set only; −1 set on every accessory; RPE cap 7","Train as planned")))</f>
        <v/>
      </c>
      <c r="H233" s="20"/>
      <c r="I233" s="20"/>
      <c r="J233" s="54"/>
      <c r="K233" s="12" t="str">
        <f aca="false">IF(I233="","",IF(I233&gt;=5,"Drop that pattern this week",IF(I233&gt;=3,"Swap that exercise","OK")))</f>
        <v/>
      </c>
      <c r="L233" s="20"/>
    </row>
    <row r="234" customFormat="false" ht="15" hidden="false" customHeight="false" outlineLevel="0" collapsed="false">
      <c r="A234" s="51"/>
      <c r="B234" s="11" t="str">
        <f aca="false">IF(A234="","",INT((A234-'Start here'!$C$5)/7)+1)</f>
        <v/>
      </c>
      <c r="C234" s="20"/>
      <c r="D234" s="20"/>
      <c r="E234" s="20"/>
      <c r="F234" s="11" t="str">
        <f aca="false">IF(COUNT(C234:E234)&lt;3,"",SUM(C234:E234))</f>
        <v/>
      </c>
      <c r="G234" s="12" t="str">
        <f aca="false">IF(F234="","",IF(F234&lt;=6,"Technique and mobility only",IF(F234&lt;=8,"Main lift top set only; −1 set on every accessory; RPE cap 7","Train as planned")))</f>
        <v/>
      </c>
      <c r="H234" s="20"/>
      <c r="I234" s="20"/>
      <c r="J234" s="54"/>
      <c r="K234" s="12" t="str">
        <f aca="false">IF(I234="","",IF(I234&gt;=5,"Drop that pattern this week",IF(I234&gt;=3,"Swap that exercise","OK")))</f>
        <v/>
      </c>
      <c r="L234" s="20"/>
    </row>
    <row r="235" customFormat="false" ht="15" hidden="false" customHeight="false" outlineLevel="0" collapsed="false">
      <c r="A235" s="51"/>
      <c r="B235" s="11" t="str">
        <f aca="false">IF(A235="","",INT((A235-'Start here'!$C$5)/7)+1)</f>
        <v/>
      </c>
      <c r="C235" s="20"/>
      <c r="D235" s="20"/>
      <c r="E235" s="20"/>
      <c r="F235" s="11" t="str">
        <f aca="false">IF(COUNT(C235:E235)&lt;3,"",SUM(C235:E235))</f>
        <v/>
      </c>
      <c r="G235" s="12" t="str">
        <f aca="false">IF(F235="","",IF(F235&lt;=6,"Technique and mobility only",IF(F235&lt;=8,"Main lift top set only; −1 set on every accessory; RPE cap 7","Train as planned")))</f>
        <v/>
      </c>
      <c r="H235" s="20"/>
      <c r="I235" s="20"/>
      <c r="J235" s="54"/>
      <c r="K235" s="12" t="str">
        <f aca="false">IF(I235="","",IF(I235&gt;=5,"Drop that pattern this week",IF(I235&gt;=3,"Swap that exercise","OK")))</f>
        <v/>
      </c>
      <c r="L235" s="20"/>
    </row>
    <row r="236" customFormat="false" ht="15" hidden="false" customHeight="false" outlineLevel="0" collapsed="false">
      <c r="A236" s="51"/>
      <c r="B236" s="11" t="str">
        <f aca="false">IF(A236="","",INT((A236-'Start here'!$C$5)/7)+1)</f>
        <v/>
      </c>
      <c r="C236" s="20"/>
      <c r="D236" s="20"/>
      <c r="E236" s="20"/>
      <c r="F236" s="11" t="str">
        <f aca="false">IF(COUNT(C236:E236)&lt;3,"",SUM(C236:E236))</f>
        <v/>
      </c>
      <c r="G236" s="12" t="str">
        <f aca="false">IF(F236="","",IF(F236&lt;=6,"Technique and mobility only",IF(F236&lt;=8,"Main lift top set only; −1 set on every accessory; RPE cap 7","Train as planned")))</f>
        <v/>
      </c>
      <c r="H236" s="20"/>
      <c r="I236" s="20"/>
      <c r="J236" s="54"/>
      <c r="K236" s="12" t="str">
        <f aca="false">IF(I236="","",IF(I236&gt;=5,"Drop that pattern this week",IF(I236&gt;=3,"Swap that exercise","OK")))</f>
        <v/>
      </c>
      <c r="L236" s="20"/>
    </row>
    <row r="237" customFormat="false" ht="15" hidden="false" customHeight="false" outlineLevel="0" collapsed="false">
      <c r="A237" s="51"/>
      <c r="B237" s="11" t="str">
        <f aca="false">IF(A237="","",INT((A237-'Start here'!$C$5)/7)+1)</f>
        <v/>
      </c>
      <c r="C237" s="20"/>
      <c r="D237" s="20"/>
      <c r="E237" s="20"/>
      <c r="F237" s="11" t="str">
        <f aca="false">IF(COUNT(C237:E237)&lt;3,"",SUM(C237:E237))</f>
        <v/>
      </c>
      <c r="G237" s="12" t="str">
        <f aca="false">IF(F237="","",IF(F237&lt;=6,"Technique and mobility only",IF(F237&lt;=8,"Main lift top set only; −1 set on every accessory; RPE cap 7","Train as planned")))</f>
        <v/>
      </c>
      <c r="H237" s="20"/>
      <c r="I237" s="20"/>
      <c r="J237" s="54"/>
      <c r="K237" s="12" t="str">
        <f aca="false">IF(I237="","",IF(I237&gt;=5,"Drop that pattern this week",IF(I237&gt;=3,"Swap that exercise","OK")))</f>
        <v/>
      </c>
      <c r="L237" s="20"/>
    </row>
    <row r="238" customFormat="false" ht="15" hidden="false" customHeight="false" outlineLevel="0" collapsed="false">
      <c r="A238" s="51"/>
      <c r="B238" s="11" t="str">
        <f aca="false">IF(A238="","",INT((A238-'Start here'!$C$5)/7)+1)</f>
        <v/>
      </c>
      <c r="C238" s="20"/>
      <c r="D238" s="20"/>
      <c r="E238" s="20"/>
      <c r="F238" s="11" t="str">
        <f aca="false">IF(COUNT(C238:E238)&lt;3,"",SUM(C238:E238))</f>
        <v/>
      </c>
      <c r="G238" s="12" t="str">
        <f aca="false">IF(F238="","",IF(F238&lt;=6,"Technique and mobility only",IF(F238&lt;=8,"Main lift top set only; −1 set on every accessory; RPE cap 7","Train as planned")))</f>
        <v/>
      </c>
      <c r="H238" s="20"/>
      <c r="I238" s="20"/>
      <c r="J238" s="54"/>
      <c r="K238" s="12" t="str">
        <f aca="false">IF(I238="","",IF(I238&gt;=5,"Drop that pattern this week",IF(I238&gt;=3,"Swap that exercise","OK")))</f>
        <v/>
      </c>
      <c r="L238" s="20"/>
    </row>
    <row r="239" customFormat="false" ht="15" hidden="false" customHeight="false" outlineLevel="0" collapsed="false">
      <c r="A239" s="51"/>
      <c r="B239" s="11" t="str">
        <f aca="false">IF(A239="","",INT((A239-'Start here'!$C$5)/7)+1)</f>
        <v/>
      </c>
      <c r="C239" s="20"/>
      <c r="D239" s="20"/>
      <c r="E239" s="20"/>
      <c r="F239" s="11" t="str">
        <f aca="false">IF(COUNT(C239:E239)&lt;3,"",SUM(C239:E239))</f>
        <v/>
      </c>
      <c r="G239" s="12" t="str">
        <f aca="false">IF(F239="","",IF(F239&lt;=6,"Technique and mobility only",IF(F239&lt;=8,"Main lift top set only; −1 set on every accessory; RPE cap 7","Train as planned")))</f>
        <v/>
      </c>
      <c r="H239" s="20"/>
      <c r="I239" s="20"/>
      <c r="J239" s="54"/>
      <c r="K239" s="12" t="str">
        <f aca="false">IF(I239="","",IF(I239&gt;=5,"Drop that pattern this week",IF(I239&gt;=3,"Swap that exercise","OK")))</f>
        <v/>
      </c>
      <c r="L239" s="20"/>
    </row>
    <row r="240" customFormat="false" ht="15" hidden="false" customHeight="false" outlineLevel="0" collapsed="false">
      <c r="A240" s="51"/>
      <c r="B240" s="11" t="str">
        <f aca="false">IF(A240="","",INT((A240-'Start here'!$C$5)/7)+1)</f>
        <v/>
      </c>
      <c r="C240" s="20"/>
      <c r="D240" s="20"/>
      <c r="E240" s="20"/>
      <c r="F240" s="11" t="str">
        <f aca="false">IF(COUNT(C240:E240)&lt;3,"",SUM(C240:E240))</f>
        <v/>
      </c>
      <c r="G240" s="12" t="str">
        <f aca="false">IF(F240="","",IF(F240&lt;=6,"Technique and mobility only",IF(F240&lt;=8,"Main lift top set only; −1 set on every accessory; RPE cap 7","Train as planned")))</f>
        <v/>
      </c>
      <c r="H240" s="20"/>
      <c r="I240" s="20"/>
      <c r="J240" s="54"/>
      <c r="K240" s="12" t="str">
        <f aca="false">IF(I240="","",IF(I240&gt;=5,"Drop that pattern this week",IF(I240&gt;=3,"Swap that exercise","OK")))</f>
        <v/>
      </c>
      <c r="L240" s="20"/>
    </row>
    <row r="241" customFormat="false" ht="15" hidden="false" customHeight="false" outlineLevel="0" collapsed="false">
      <c r="A241" s="51"/>
      <c r="B241" s="11" t="str">
        <f aca="false">IF(A241="","",INT((A241-'Start here'!$C$5)/7)+1)</f>
        <v/>
      </c>
      <c r="C241" s="20"/>
      <c r="D241" s="20"/>
      <c r="E241" s="20"/>
      <c r="F241" s="11" t="str">
        <f aca="false">IF(COUNT(C241:E241)&lt;3,"",SUM(C241:E241))</f>
        <v/>
      </c>
      <c r="G241" s="12" t="str">
        <f aca="false">IF(F241="","",IF(F241&lt;=6,"Technique and mobility only",IF(F241&lt;=8,"Main lift top set only; −1 set on every accessory; RPE cap 7","Train as planned")))</f>
        <v/>
      </c>
      <c r="H241" s="20"/>
      <c r="I241" s="20"/>
      <c r="J241" s="54"/>
      <c r="K241" s="12" t="str">
        <f aca="false">IF(I241="","",IF(I241&gt;=5,"Drop that pattern this week",IF(I241&gt;=3,"Swap that exercise","OK")))</f>
        <v/>
      </c>
      <c r="L241" s="20"/>
    </row>
    <row r="242" customFormat="false" ht="15" hidden="false" customHeight="false" outlineLevel="0" collapsed="false">
      <c r="A242" s="51"/>
      <c r="B242" s="11" t="str">
        <f aca="false">IF(A242="","",INT((A242-'Start here'!$C$5)/7)+1)</f>
        <v/>
      </c>
      <c r="C242" s="20"/>
      <c r="D242" s="20"/>
      <c r="E242" s="20"/>
      <c r="F242" s="11" t="str">
        <f aca="false">IF(COUNT(C242:E242)&lt;3,"",SUM(C242:E242))</f>
        <v/>
      </c>
      <c r="G242" s="12" t="str">
        <f aca="false">IF(F242="","",IF(F242&lt;=6,"Technique and mobility only",IF(F242&lt;=8,"Main lift top set only; −1 set on every accessory; RPE cap 7","Train as planned")))</f>
        <v/>
      </c>
      <c r="H242" s="20"/>
      <c r="I242" s="20"/>
      <c r="J242" s="54"/>
      <c r="K242" s="12" t="str">
        <f aca="false">IF(I242="","",IF(I242&gt;=5,"Drop that pattern this week",IF(I242&gt;=3,"Swap that exercise","OK")))</f>
        <v/>
      </c>
      <c r="L242" s="20"/>
    </row>
    <row r="243" customFormat="false" ht="15" hidden="false" customHeight="false" outlineLevel="0" collapsed="false">
      <c r="A243" s="51"/>
      <c r="B243" s="11" t="str">
        <f aca="false">IF(A243="","",INT((A243-'Start here'!$C$5)/7)+1)</f>
        <v/>
      </c>
      <c r="C243" s="20"/>
      <c r="D243" s="20"/>
      <c r="E243" s="20"/>
      <c r="F243" s="11" t="str">
        <f aca="false">IF(COUNT(C243:E243)&lt;3,"",SUM(C243:E243))</f>
        <v/>
      </c>
      <c r="G243" s="12" t="str">
        <f aca="false">IF(F243="","",IF(F243&lt;=6,"Technique and mobility only",IF(F243&lt;=8,"Main lift top set only; −1 set on every accessory; RPE cap 7","Train as planned")))</f>
        <v/>
      </c>
      <c r="H243" s="20"/>
      <c r="I243" s="20"/>
      <c r="J243" s="54"/>
      <c r="K243" s="12" t="str">
        <f aca="false">IF(I243="","",IF(I243&gt;=5,"Drop that pattern this week",IF(I243&gt;=3,"Swap that exercise","OK")))</f>
        <v/>
      </c>
      <c r="L243" s="20"/>
    </row>
    <row r="244" customFormat="false" ht="15" hidden="false" customHeight="false" outlineLevel="0" collapsed="false">
      <c r="A244" s="51"/>
      <c r="B244" s="11" t="str">
        <f aca="false">IF(A244="","",INT((A244-'Start here'!$C$5)/7)+1)</f>
        <v/>
      </c>
      <c r="C244" s="20"/>
      <c r="D244" s="20"/>
      <c r="E244" s="20"/>
      <c r="F244" s="11" t="str">
        <f aca="false">IF(COUNT(C244:E244)&lt;3,"",SUM(C244:E244))</f>
        <v/>
      </c>
      <c r="G244" s="12" t="str">
        <f aca="false">IF(F244="","",IF(F244&lt;=6,"Technique and mobility only",IF(F244&lt;=8,"Main lift top set only; −1 set on every accessory; RPE cap 7","Train as planned")))</f>
        <v/>
      </c>
      <c r="H244" s="20"/>
      <c r="I244" s="20"/>
      <c r="J244" s="54"/>
      <c r="K244" s="12" t="str">
        <f aca="false">IF(I244="","",IF(I244&gt;=5,"Drop that pattern this week",IF(I244&gt;=3,"Swap that exercise","OK")))</f>
        <v/>
      </c>
      <c r="L244" s="20"/>
    </row>
    <row r="245" customFormat="false" ht="15" hidden="false" customHeight="false" outlineLevel="0" collapsed="false">
      <c r="A245" s="51"/>
      <c r="B245" s="11" t="str">
        <f aca="false">IF(A245="","",INT((A245-'Start here'!$C$5)/7)+1)</f>
        <v/>
      </c>
      <c r="C245" s="20"/>
      <c r="D245" s="20"/>
      <c r="E245" s="20"/>
      <c r="F245" s="11" t="str">
        <f aca="false">IF(COUNT(C245:E245)&lt;3,"",SUM(C245:E245))</f>
        <v/>
      </c>
      <c r="G245" s="12" t="str">
        <f aca="false">IF(F245="","",IF(F245&lt;=6,"Technique and mobility only",IF(F245&lt;=8,"Main lift top set only; −1 set on every accessory; RPE cap 7","Train as planned")))</f>
        <v/>
      </c>
      <c r="H245" s="20"/>
      <c r="I245" s="20"/>
      <c r="J245" s="54"/>
      <c r="K245" s="12" t="str">
        <f aca="false">IF(I245="","",IF(I245&gt;=5,"Drop that pattern this week",IF(I245&gt;=3,"Swap that exercise","OK")))</f>
        <v/>
      </c>
      <c r="L245" s="20"/>
    </row>
    <row r="246" customFormat="false" ht="15" hidden="false" customHeight="false" outlineLevel="0" collapsed="false">
      <c r="A246" s="51"/>
      <c r="B246" s="11" t="str">
        <f aca="false">IF(A246="","",INT((A246-'Start here'!$C$5)/7)+1)</f>
        <v/>
      </c>
      <c r="C246" s="20"/>
      <c r="D246" s="20"/>
      <c r="E246" s="20"/>
      <c r="F246" s="11" t="str">
        <f aca="false">IF(COUNT(C246:E246)&lt;3,"",SUM(C246:E246))</f>
        <v/>
      </c>
      <c r="G246" s="12" t="str">
        <f aca="false">IF(F246="","",IF(F246&lt;=6,"Technique and mobility only",IF(F246&lt;=8,"Main lift top set only; −1 set on every accessory; RPE cap 7","Train as planned")))</f>
        <v/>
      </c>
      <c r="H246" s="20"/>
      <c r="I246" s="20"/>
      <c r="J246" s="54"/>
      <c r="K246" s="12" t="str">
        <f aca="false">IF(I246="","",IF(I246&gt;=5,"Drop that pattern this week",IF(I246&gt;=3,"Swap that exercise","OK")))</f>
        <v/>
      </c>
      <c r="L246" s="20"/>
    </row>
    <row r="247" customFormat="false" ht="15" hidden="false" customHeight="false" outlineLevel="0" collapsed="false">
      <c r="A247" s="51"/>
      <c r="B247" s="11" t="str">
        <f aca="false">IF(A247="","",INT((A247-'Start here'!$C$5)/7)+1)</f>
        <v/>
      </c>
      <c r="C247" s="20"/>
      <c r="D247" s="20"/>
      <c r="E247" s="20"/>
      <c r="F247" s="11" t="str">
        <f aca="false">IF(COUNT(C247:E247)&lt;3,"",SUM(C247:E247))</f>
        <v/>
      </c>
      <c r="G247" s="12" t="str">
        <f aca="false">IF(F247="","",IF(F247&lt;=6,"Technique and mobility only",IF(F247&lt;=8,"Main lift top set only; −1 set on every accessory; RPE cap 7","Train as planned")))</f>
        <v/>
      </c>
      <c r="H247" s="20"/>
      <c r="I247" s="20"/>
      <c r="J247" s="54"/>
      <c r="K247" s="12" t="str">
        <f aca="false">IF(I247="","",IF(I247&gt;=5,"Drop that pattern this week",IF(I247&gt;=3,"Swap that exercise","OK")))</f>
        <v/>
      </c>
      <c r="L247" s="20"/>
    </row>
    <row r="248" customFormat="false" ht="15" hidden="false" customHeight="false" outlineLevel="0" collapsed="false">
      <c r="A248" s="51"/>
      <c r="B248" s="11" t="str">
        <f aca="false">IF(A248="","",INT((A248-'Start here'!$C$5)/7)+1)</f>
        <v/>
      </c>
      <c r="C248" s="20"/>
      <c r="D248" s="20"/>
      <c r="E248" s="20"/>
      <c r="F248" s="11" t="str">
        <f aca="false">IF(COUNT(C248:E248)&lt;3,"",SUM(C248:E248))</f>
        <v/>
      </c>
      <c r="G248" s="12" t="str">
        <f aca="false">IF(F248="","",IF(F248&lt;=6,"Technique and mobility only",IF(F248&lt;=8,"Main lift top set only; −1 set on every accessory; RPE cap 7","Train as planned")))</f>
        <v/>
      </c>
      <c r="H248" s="20"/>
      <c r="I248" s="20"/>
      <c r="J248" s="54"/>
      <c r="K248" s="12" t="str">
        <f aca="false">IF(I248="","",IF(I248&gt;=5,"Drop that pattern this week",IF(I248&gt;=3,"Swap that exercise","OK")))</f>
        <v/>
      </c>
      <c r="L248" s="20"/>
    </row>
    <row r="249" customFormat="false" ht="15" hidden="false" customHeight="false" outlineLevel="0" collapsed="false">
      <c r="A249" s="51"/>
      <c r="B249" s="11" t="str">
        <f aca="false">IF(A249="","",INT((A249-'Start here'!$C$5)/7)+1)</f>
        <v/>
      </c>
      <c r="C249" s="20"/>
      <c r="D249" s="20"/>
      <c r="E249" s="20"/>
      <c r="F249" s="11" t="str">
        <f aca="false">IF(COUNT(C249:E249)&lt;3,"",SUM(C249:E249))</f>
        <v/>
      </c>
      <c r="G249" s="12" t="str">
        <f aca="false">IF(F249="","",IF(F249&lt;=6,"Technique and mobility only",IF(F249&lt;=8,"Main lift top set only; −1 set on every accessory; RPE cap 7","Train as planned")))</f>
        <v/>
      </c>
      <c r="H249" s="20"/>
      <c r="I249" s="20"/>
      <c r="J249" s="54"/>
      <c r="K249" s="12" t="str">
        <f aca="false">IF(I249="","",IF(I249&gt;=5,"Drop that pattern this week",IF(I249&gt;=3,"Swap that exercise","OK")))</f>
        <v/>
      </c>
      <c r="L249" s="20"/>
    </row>
    <row r="250" customFormat="false" ht="15" hidden="false" customHeight="false" outlineLevel="0" collapsed="false">
      <c r="A250" s="51"/>
      <c r="B250" s="11" t="str">
        <f aca="false">IF(A250="","",INT((A250-'Start here'!$C$5)/7)+1)</f>
        <v/>
      </c>
      <c r="C250" s="20"/>
      <c r="D250" s="20"/>
      <c r="E250" s="20"/>
      <c r="F250" s="11" t="str">
        <f aca="false">IF(COUNT(C250:E250)&lt;3,"",SUM(C250:E250))</f>
        <v/>
      </c>
      <c r="G250" s="12" t="str">
        <f aca="false">IF(F250="","",IF(F250&lt;=6,"Technique and mobility only",IF(F250&lt;=8,"Main lift top set only; −1 set on every accessory; RPE cap 7","Train as planned")))</f>
        <v/>
      </c>
      <c r="H250" s="20"/>
      <c r="I250" s="20"/>
      <c r="J250" s="54"/>
      <c r="K250" s="12" t="str">
        <f aca="false">IF(I250="","",IF(I250&gt;=5,"Drop that pattern this week",IF(I250&gt;=3,"Swap that exercise","OK")))</f>
        <v/>
      </c>
      <c r="L250" s="20"/>
    </row>
    <row r="251" customFormat="false" ht="15" hidden="false" customHeight="false" outlineLevel="0" collapsed="false">
      <c r="A251" s="51"/>
      <c r="B251" s="11" t="str">
        <f aca="false">IF(A251="","",INT((A251-'Start here'!$C$5)/7)+1)</f>
        <v/>
      </c>
      <c r="C251" s="20"/>
      <c r="D251" s="20"/>
      <c r="E251" s="20"/>
      <c r="F251" s="11" t="str">
        <f aca="false">IF(COUNT(C251:E251)&lt;3,"",SUM(C251:E251))</f>
        <v/>
      </c>
      <c r="G251" s="12" t="str">
        <f aca="false">IF(F251="","",IF(F251&lt;=6,"Technique and mobility only",IF(F251&lt;=8,"Main lift top set only; −1 set on every accessory; RPE cap 7","Train as planned")))</f>
        <v/>
      </c>
      <c r="H251" s="20"/>
      <c r="I251" s="20"/>
      <c r="J251" s="54"/>
      <c r="K251" s="12" t="str">
        <f aca="false">IF(I251="","",IF(I251&gt;=5,"Drop that pattern this week",IF(I251&gt;=3,"Swap that exercise","OK")))</f>
        <v/>
      </c>
      <c r="L251" s="20"/>
    </row>
    <row r="252" customFormat="false" ht="15" hidden="false" customHeight="false" outlineLevel="0" collapsed="false">
      <c r="A252" s="51"/>
      <c r="B252" s="11" t="str">
        <f aca="false">IF(A252="","",INT((A252-'Start here'!$C$5)/7)+1)</f>
        <v/>
      </c>
      <c r="C252" s="20"/>
      <c r="D252" s="20"/>
      <c r="E252" s="20"/>
      <c r="F252" s="11" t="str">
        <f aca="false">IF(COUNT(C252:E252)&lt;3,"",SUM(C252:E252))</f>
        <v/>
      </c>
      <c r="G252" s="12" t="str">
        <f aca="false">IF(F252="","",IF(F252&lt;=6,"Technique and mobility only",IF(F252&lt;=8,"Main lift top set only; −1 set on every accessory; RPE cap 7","Train as planned")))</f>
        <v/>
      </c>
      <c r="H252" s="20"/>
      <c r="I252" s="20"/>
      <c r="J252" s="54"/>
      <c r="K252" s="12" t="str">
        <f aca="false">IF(I252="","",IF(I252&gt;=5,"Drop that pattern this week",IF(I252&gt;=3,"Swap that exercise","OK")))</f>
        <v/>
      </c>
      <c r="L252" s="20"/>
    </row>
    <row r="253" customFormat="false" ht="15" hidden="false" customHeight="false" outlineLevel="0" collapsed="false">
      <c r="A253" s="51"/>
      <c r="B253" s="11" t="str">
        <f aca="false">IF(A253="","",INT((A253-'Start here'!$C$5)/7)+1)</f>
        <v/>
      </c>
      <c r="C253" s="20"/>
      <c r="D253" s="20"/>
      <c r="E253" s="20"/>
      <c r="F253" s="11" t="str">
        <f aca="false">IF(COUNT(C253:E253)&lt;3,"",SUM(C253:E253))</f>
        <v/>
      </c>
      <c r="G253" s="12" t="str">
        <f aca="false">IF(F253="","",IF(F253&lt;=6,"Technique and mobility only",IF(F253&lt;=8,"Main lift top set only; −1 set on every accessory; RPE cap 7","Train as planned")))</f>
        <v/>
      </c>
      <c r="H253" s="20"/>
      <c r="I253" s="20"/>
      <c r="J253" s="54"/>
      <c r="K253" s="12" t="str">
        <f aca="false">IF(I253="","",IF(I253&gt;=5,"Drop that pattern this week",IF(I253&gt;=3,"Swap that exercise","OK")))</f>
        <v/>
      </c>
      <c r="L253" s="20"/>
    </row>
    <row r="254" customFormat="false" ht="15" hidden="false" customHeight="false" outlineLevel="0" collapsed="false">
      <c r="A254" s="51"/>
      <c r="B254" s="11" t="str">
        <f aca="false">IF(A254="","",INT((A254-'Start here'!$C$5)/7)+1)</f>
        <v/>
      </c>
      <c r="C254" s="20"/>
      <c r="D254" s="20"/>
      <c r="E254" s="20"/>
      <c r="F254" s="11" t="str">
        <f aca="false">IF(COUNT(C254:E254)&lt;3,"",SUM(C254:E254))</f>
        <v/>
      </c>
      <c r="G254" s="12" t="str">
        <f aca="false">IF(F254="","",IF(F254&lt;=6,"Technique and mobility only",IF(F254&lt;=8,"Main lift top set only; −1 set on every accessory; RPE cap 7","Train as planned")))</f>
        <v/>
      </c>
      <c r="H254" s="20"/>
      <c r="I254" s="20"/>
      <c r="J254" s="54"/>
      <c r="K254" s="12" t="str">
        <f aca="false">IF(I254="","",IF(I254&gt;=5,"Drop that pattern this week",IF(I254&gt;=3,"Swap that exercise","OK")))</f>
        <v/>
      </c>
      <c r="L254" s="20"/>
    </row>
    <row r="255" customFormat="false" ht="15" hidden="false" customHeight="false" outlineLevel="0" collapsed="false">
      <c r="A255" s="51"/>
      <c r="B255" s="11" t="str">
        <f aca="false">IF(A255="","",INT((A255-'Start here'!$C$5)/7)+1)</f>
        <v/>
      </c>
      <c r="C255" s="20"/>
      <c r="D255" s="20"/>
      <c r="E255" s="20"/>
      <c r="F255" s="11" t="str">
        <f aca="false">IF(COUNT(C255:E255)&lt;3,"",SUM(C255:E255))</f>
        <v/>
      </c>
      <c r="G255" s="12" t="str">
        <f aca="false">IF(F255="","",IF(F255&lt;=6,"Technique and mobility only",IF(F255&lt;=8,"Main lift top set only; −1 set on every accessory; RPE cap 7","Train as planned")))</f>
        <v/>
      </c>
      <c r="H255" s="20"/>
      <c r="I255" s="20"/>
      <c r="J255" s="54"/>
      <c r="K255" s="12" t="str">
        <f aca="false">IF(I255="","",IF(I255&gt;=5,"Drop that pattern this week",IF(I255&gt;=3,"Swap that exercise","OK")))</f>
        <v/>
      </c>
      <c r="L255" s="20"/>
    </row>
    <row r="256" customFormat="false" ht="15" hidden="false" customHeight="false" outlineLevel="0" collapsed="false">
      <c r="A256" s="51"/>
      <c r="B256" s="11" t="str">
        <f aca="false">IF(A256="","",INT((A256-'Start here'!$C$5)/7)+1)</f>
        <v/>
      </c>
      <c r="C256" s="20"/>
      <c r="D256" s="20"/>
      <c r="E256" s="20"/>
      <c r="F256" s="11" t="str">
        <f aca="false">IF(COUNT(C256:E256)&lt;3,"",SUM(C256:E256))</f>
        <v/>
      </c>
      <c r="G256" s="12" t="str">
        <f aca="false">IF(F256="","",IF(F256&lt;=6,"Technique and mobility only",IF(F256&lt;=8,"Main lift top set only; −1 set on every accessory; RPE cap 7","Train as planned")))</f>
        <v/>
      </c>
      <c r="H256" s="20"/>
      <c r="I256" s="20"/>
      <c r="J256" s="54"/>
      <c r="K256" s="12" t="str">
        <f aca="false">IF(I256="","",IF(I256&gt;=5,"Drop that pattern this week",IF(I256&gt;=3,"Swap that exercise","OK")))</f>
        <v/>
      </c>
      <c r="L256" s="20"/>
    </row>
    <row r="257" customFormat="false" ht="15" hidden="false" customHeight="false" outlineLevel="0" collapsed="false">
      <c r="A257" s="51"/>
      <c r="B257" s="11" t="str">
        <f aca="false">IF(A257="","",INT((A257-'Start here'!$C$5)/7)+1)</f>
        <v/>
      </c>
      <c r="C257" s="20"/>
      <c r="D257" s="20"/>
      <c r="E257" s="20"/>
      <c r="F257" s="11" t="str">
        <f aca="false">IF(COUNT(C257:E257)&lt;3,"",SUM(C257:E257))</f>
        <v/>
      </c>
      <c r="G257" s="12" t="str">
        <f aca="false">IF(F257="","",IF(F257&lt;=6,"Technique and mobility only",IF(F257&lt;=8,"Main lift top set only; −1 set on every accessory; RPE cap 7","Train as planned")))</f>
        <v/>
      </c>
      <c r="H257" s="20"/>
      <c r="I257" s="20"/>
      <c r="J257" s="54"/>
      <c r="K257" s="12" t="str">
        <f aca="false">IF(I257="","",IF(I257&gt;=5,"Drop that pattern this week",IF(I257&gt;=3,"Swap that exercise","OK")))</f>
        <v/>
      </c>
      <c r="L257" s="20"/>
    </row>
    <row r="258" customFormat="false" ht="15" hidden="false" customHeight="false" outlineLevel="0" collapsed="false">
      <c r="A258" s="51"/>
      <c r="B258" s="11" t="str">
        <f aca="false">IF(A258="","",INT((A258-'Start here'!$C$5)/7)+1)</f>
        <v/>
      </c>
      <c r="C258" s="20"/>
      <c r="D258" s="20"/>
      <c r="E258" s="20"/>
      <c r="F258" s="11" t="str">
        <f aca="false">IF(COUNT(C258:E258)&lt;3,"",SUM(C258:E258))</f>
        <v/>
      </c>
      <c r="G258" s="12" t="str">
        <f aca="false">IF(F258="","",IF(F258&lt;=6,"Technique and mobility only",IF(F258&lt;=8,"Main lift top set only; −1 set on every accessory; RPE cap 7","Train as planned")))</f>
        <v/>
      </c>
      <c r="H258" s="20"/>
      <c r="I258" s="20"/>
      <c r="J258" s="54"/>
      <c r="K258" s="12" t="str">
        <f aca="false">IF(I258="","",IF(I258&gt;=5,"Drop that pattern this week",IF(I258&gt;=3,"Swap that exercise","OK")))</f>
        <v/>
      </c>
      <c r="L258" s="20"/>
    </row>
    <row r="259" customFormat="false" ht="15" hidden="false" customHeight="false" outlineLevel="0" collapsed="false">
      <c r="A259" s="51"/>
      <c r="B259" s="11" t="str">
        <f aca="false">IF(A259="","",INT((A259-'Start here'!$C$5)/7)+1)</f>
        <v/>
      </c>
      <c r="C259" s="20"/>
      <c r="D259" s="20"/>
      <c r="E259" s="20"/>
      <c r="F259" s="11" t="str">
        <f aca="false">IF(COUNT(C259:E259)&lt;3,"",SUM(C259:E259))</f>
        <v/>
      </c>
      <c r="G259" s="12" t="str">
        <f aca="false">IF(F259="","",IF(F259&lt;=6,"Technique and mobility only",IF(F259&lt;=8,"Main lift top set only; −1 set on every accessory; RPE cap 7","Train as planned")))</f>
        <v/>
      </c>
      <c r="H259" s="20"/>
      <c r="I259" s="20"/>
      <c r="J259" s="54"/>
      <c r="K259" s="12" t="str">
        <f aca="false">IF(I259="","",IF(I259&gt;=5,"Drop that pattern this week",IF(I259&gt;=3,"Swap that exercise","OK")))</f>
        <v/>
      </c>
      <c r="L259" s="20"/>
    </row>
    <row r="260" customFormat="false" ht="15" hidden="false" customHeight="false" outlineLevel="0" collapsed="false">
      <c r="A260" s="51"/>
      <c r="B260" s="11" t="str">
        <f aca="false">IF(A260="","",INT((A260-'Start here'!$C$5)/7)+1)</f>
        <v/>
      </c>
      <c r="C260" s="20"/>
      <c r="D260" s="20"/>
      <c r="E260" s="20"/>
      <c r="F260" s="11" t="str">
        <f aca="false">IF(COUNT(C260:E260)&lt;3,"",SUM(C260:E260))</f>
        <v/>
      </c>
      <c r="G260" s="12" t="str">
        <f aca="false">IF(F260="","",IF(F260&lt;=6,"Technique and mobility only",IF(F260&lt;=8,"Main lift top set only; −1 set on every accessory; RPE cap 7","Train as planned")))</f>
        <v/>
      </c>
      <c r="H260" s="20"/>
      <c r="I260" s="20"/>
      <c r="J260" s="54"/>
      <c r="K260" s="12" t="str">
        <f aca="false">IF(I260="","",IF(I260&gt;=5,"Drop that pattern this week",IF(I260&gt;=3,"Swap that exercise","OK")))</f>
        <v/>
      </c>
      <c r="L260" s="20"/>
    </row>
    <row r="261" customFormat="false" ht="15" hidden="false" customHeight="false" outlineLevel="0" collapsed="false">
      <c r="A261" s="51"/>
      <c r="B261" s="11" t="str">
        <f aca="false">IF(A261="","",INT((A261-'Start here'!$C$5)/7)+1)</f>
        <v/>
      </c>
      <c r="C261" s="20"/>
      <c r="D261" s="20"/>
      <c r="E261" s="20"/>
      <c r="F261" s="11" t="str">
        <f aca="false">IF(COUNT(C261:E261)&lt;3,"",SUM(C261:E261))</f>
        <v/>
      </c>
      <c r="G261" s="12" t="str">
        <f aca="false">IF(F261="","",IF(F261&lt;=6,"Technique and mobility only",IF(F261&lt;=8,"Main lift top set only; −1 set on every accessory; RPE cap 7","Train as planned")))</f>
        <v/>
      </c>
      <c r="H261" s="20"/>
      <c r="I261" s="20"/>
      <c r="J261" s="54"/>
      <c r="K261" s="12" t="str">
        <f aca="false">IF(I261="","",IF(I261&gt;=5,"Drop that pattern this week",IF(I261&gt;=3,"Swap that exercise","OK")))</f>
        <v/>
      </c>
      <c r="L261" s="20"/>
    </row>
    <row r="262" customFormat="false" ht="15" hidden="false" customHeight="false" outlineLevel="0" collapsed="false">
      <c r="A262" s="51"/>
      <c r="B262" s="11" t="str">
        <f aca="false">IF(A262="","",INT((A262-'Start here'!$C$5)/7)+1)</f>
        <v/>
      </c>
      <c r="C262" s="20"/>
      <c r="D262" s="20"/>
      <c r="E262" s="20"/>
      <c r="F262" s="11" t="str">
        <f aca="false">IF(COUNT(C262:E262)&lt;3,"",SUM(C262:E262))</f>
        <v/>
      </c>
      <c r="G262" s="12" t="str">
        <f aca="false">IF(F262="","",IF(F262&lt;=6,"Technique and mobility only",IF(F262&lt;=8,"Main lift top set only; −1 set on every accessory; RPE cap 7","Train as planned")))</f>
        <v/>
      </c>
      <c r="H262" s="20"/>
      <c r="I262" s="20"/>
      <c r="J262" s="54"/>
      <c r="K262" s="12" t="str">
        <f aca="false">IF(I262="","",IF(I262&gt;=5,"Drop that pattern this week",IF(I262&gt;=3,"Swap that exercise","OK")))</f>
        <v/>
      </c>
      <c r="L262" s="20"/>
    </row>
    <row r="263" customFormat="false" ht="15" hidden="false" customHeight="false" outlineLevel="0" collapsed="false">
      <c r="A263" s="51"/>
      <c r="B263" s="11" t="str">
        <f aca="false">IF(A263="","",INT((A263-'Start here'!$C$5)/7)+1)</f>
        <v/>
      </c>
      <c r="C263" s="20"/>
      <c r="D263" s="20"/>
      <c r="E263" s="20"/>
      <c r="F263" s="11" t="str">
        <f aca="false">IF(COUNT(C263:E263)&lt;3,"",SUM(C263:E263))</f>
        <v/>
      </c>
      <c r="G263" s="12" t="str">
        <f aca="false">IF(F263="","",IF(F263&lt;=6,"Technique and mobility only",IF(F263&lt;=8,"Main lift top set only; −1 set on every accessory; RPE cap 7","Train as planned")))</f>
        <v/>
      </c>
      <c r="H263" s="20"/>
      <c r="I263" s="20"/>
      <c r="J263" s="54"/>
      <c r="K263" s="12" t="str">
        <f aca="false">IF(I263="","",IF(I263&gt;=5,"Drop that pattern this week",IF(I263&gt;=3,"Swap that exercise","OK")))</f>
        <v/>
      </c>
      <c r="L263" s="20"/>
    </row>
    <row r="264" customFormat="false" ht="15" hidden="false" customHeight="false" outlineLevel="0" collapsed="false">
      <c r="A264" s="51"/>
      <c r="B264" s="11" t="str">
        <f aca="false">IF(A264="","",INT((A264-'Start here'!$C$5)/7)+1)</f>
        <v/>
      </c>
      <c r="C264" s="20"/>
      <c r="D264" s="20"/>
      <c r="E264" s="20"/>
      <c r="F264" s="11" t="str">
        <f aca="false">IF(COUNT(C264:E264)&lt;3,"",SUM(C264:E264))</f>
        <v/>
      </c>
      <c r="G264" s="12" t="str">
        <f aca="false">IF(F264="","",IF(F264&lt;=6,"Technique and mobility only",IF(F264&lt;=8,"Main lift top set only; −1 set on every accessory; RPE cap 7","Train as planned")))</f>
        <v/>
      </c>
      <c r="H264" s="20"/>
      <c r="I264" s="20"/>
      <c r="J264" s="54"/>
      <c r="K264" s="12" t="str">
        <f aca="false">IF(I264="","",IF(I264&gt;=5,"Drop that pattern this week",IF(I264&gt;=3,"Swap that exercise","OK")))</f>
        <v/>
      </c>
      <c r="L264" s="20"/>
    </row>
    <row r="265" customFormat="false" ht="15" hidden="false" customHeight="false" outlineLevel="0" collapsed="false">
      <c r="A265" s="51"/>
      <c r="B265" s="11" t="str">
        <f aca="false">IF(A265="","",INT((A265-'Start here'!$C$5)/7)+1)</f>
        <v/>
      </c>
      <c r="C265" s="20"/>
      <c r="D265" s="20"/>
      <c r="E265" s="20"/>
      <c r="F265" s="11" t="str">
        <f aca="false">IF(COUNT(C265:E265)&lt;3,"",SUM(C265:E265))</f>
        <v/>
      </c>
      <c r="G265" s="12" t="str">
        <f aca="false">IF(F265="","",IF(F265&lt;=6,"Technique and mobility only",IF(F265&lt;=8,"Main lift top set only; −1 set on every accessory; RPE cap 7","Train as planned")))</f>
        <v/>
      </c>
      <c r="H265" s="20"/>
      <c r="I265" s="20"/>
      <c r="J265" s="54"/>
      <c r="K265" s="12" t="str">
        <f aca="false">IF(I265="","",IF(I265&gt;=5,"Drop that pattern this week",IF(I265&gt;=3,"Swap that exercise","OK")))</f>
        <v/>
      </c>
      <c r="L265" s="20"/>
    </row>
    <row r="266" customFormat="false" ht="15" hidden="false" customHeight="false" outlineLevel="0" collapsed="false">
      <c r="A266" s="51"/>
      <c r="B266" s="11" t="str">
        <f aca="false">IF(A266="","",INT((A266-'Start here'!$C$5)/7)+1)</f>
        <v/>
      </c>
      <c r="C266" s="20"/>
      <c r="D266" s="20"/>
      <c r="E266" s="20"/>
      <c r="F266" s="11" t="str">
        <f aca="false">IF(COUNT(C266:E266)&lt;3,"",SUM(C266:E266))</f>
        <v/>
      </c>
      <c r="G266" s="12" t="str">
        <f aca="false">IF(F266="","",IF(F266&lt;=6,"Technique and mobility only",IF(F266&lt;=8,"Main lift top set only; −1 set on every accessory; RPE cap 7","Train as planned")))</f>
        <v/>
      </c>
      <c r="H266" s="20"/>
      <c r="I266" s="20"/>
      <c r="J266" s="54"/>
      <c r="K266" s="12" t="str">
        <f aca="false">IF(I266="","",IF(I266&gt;=5,"Drop that pattern this week",IF(I266&gt;=3,"Swap that exercise","OK")))</f>
        <v/>
      </c>
      <c r="L266" s="20"/>
    </row>
    <row r="267" customFormat="false" ht="15" hidden="false" customHeight="false" outlineLevel="0" collapsed="false">
      <c r="A267" s="51"/>
      <c r="B267" s="11" t="str">
        <f aca="false">IF(A267="","",INT((A267-'Start here'!$C$5)/7)+1)</f>
        <v/>
      </c>
      <c r="C267" s="20"/>
      <c r="D267" s="20"/>
      <c r="E267" s="20"/>
      <c r="F267" s="11" t="str">
        <f aca="false">IF(COUNT(C267:E267)&lt;3,"",SUM(C267:E267))</f>
        <v/>
      </c>
      <c r="G267" s="12" t="str">
        <f aca="false">IF(F267="","",IF(F267&lt;=6,"Technique and mobility only",IF(F267&lt;=8,"Main lift top set only; −1 set on every accessory; RPE cap 7","Train as planned")))</f>
        <v/>
      </c>
      <c r="H267" s="20"/>
      <c r="I267" s="20"/>
      <c r="J267" s="54"/>
      <c r="K267" s="12" t="str">
        <f aca="false">IF(I267="","",IF(I267&gt;=5,"Drop that pattern this week",IF(I267&gt;=3,"Swap that exercise","OK")))</f>
        <v/>
      </c>
      <c r="L267" s="20"/>
    </row>
    <row r="268" customFormat="false" ht="15" hidden="false" customHeight="false" outlineLevel="0" collapsed="false">
      <c r="A268" s="51"/>
      <c r="B268" s="11" t="str">
        <f aca="false">IF(A268="","",INT((A268-'Start here'!$C$5)/7)+1)</f>
        <v/>
      </c>
      <c r="C268" s="20"/>
      <c r="D268" s="20"/>
      <c r="E268" s="20"/>
      <c r="F268" s="11" t="str">
        <f aca="false">IF(COUNT(C268:E268)&lt;3,"",SUM(C268:E268))</f>
        <v/>
      </c>
      <c r="G268" s="12" t="str">
        <f aca="false">IF(F268="","",IF(F268&lt;=6,"Technique and mobility only",IF(F268&lt;=8,"Main lift top set only; −1 set on every accessory; RPE cap 7","Train as planned")))</f>
        <v/>
      </c>
      <c r="H268" s="20"/>
      <c r="I268" s="20"/>
      <c r="J268" s="54"/>
      <c r="K268" s="12" t="str">
        <f aca="false">IF(I268="","",IF(I268&gt;=5,"Drop that pattern this week",IF(I268&gt;=3,"Swap that exercise","OK")))</f>
        <v/>
      </c>
      <c r="L268" s="20"/>
    </row>
    <row r="269" customFormat="false" ht="15" hidden="false" customHeight="false" outlineLevel="0" collapsed="false">
      <c r="A269" s="51"/>
      <c r="B269" s="11" t="str">
        <f aca="false">IF(A269="","",INT((A269-'Start here'!$C$5)/7)+1)</f>
        <v/>
      </c>
      <c r="C269" s="20"/>
      <c r="D269" s="20"/>
      <c r="E269" s="20"/>
      <c r="F269" s="11" t="str">
        <f aca="false">IF(COUNT(C269:E269)&lt;3,"",SUM(C269:E269))</f>
        <v/>
      </c>
      <c r="G269" s="12" t="str">
        <f aca="false">IF(F269="","",IF(F269&lt;=6,"Technique and mobility only",IF(F269&lt;=8,"Main lift top set only; −1 set on every accessory; RPE cap 7","Train as planned")))</f>
        <v/>
      </c>
      <c r="H269" s="20"/>
      <c r="I269" s="20"/>
      <c r="J269" s="54"/>
      <c r="K269" s="12" t="str">
        <f aca="false">IF(I269="","",IF(I269&gt;=5,"Drop that pattern this week",IF(I269&gt;=3,"Swap that exercise","OK")))</f>
        <v/>
      </c>
      <c r="L269" s="20"/>
    </row>
    <row r="270" customFormat="false" ht="15" hidden="false" customHeight="false" outlineLevel="0" collapsed="false">
      <c r="A270" s="51"/>
      <c r="B270" s="11" t="str">
        <f aca="false">IF(A270="","",INT((A270-'Start here'!$C$5)/7)+1)</f>
        <v/>
      </c>
      <c r="C270" s="20"/>
      <c r="D270" s="20"/>
      <c r="E270" s="20"/>
      <c r="F270" s="11" t="str">
        <f aca="false">IF(COUNT(C270:E270)&lt;3,"",SUM(C270:E270))</f>
        <v/>
      </c>
      <c r="G270" s="12" t="str">
        <f aca="false">IF(F270="","",IF(F270&lt;=6,"Technique and mobility only",IF(F270&lt;=8,"Main lift top set only; −1 set on every accessory; RPE cap 7","Train as planned")))</f>
        <v/>
      </c>
      <c r="H270" s="20"/>
      <c r="I270" s="20"/>
      <c r="J270" s="54"/>
      <c r="K270" s="12" t="str">
        <f aca="false">IF(I270="","",IF(I270&gt;=5,"Drop that pattern this week",IF(I270&gt;=3,"Swap that exercise","OK")))</f>
        <v/>
      </c>
      <c r="L270" s="20"/>
    </row>
    <row r="271" customFormat="false" ht="15" hidden="false" customHeight="false" outlineLevel="0" collapsed="false">
      <c r="A271" s="51"/>
      <c r="B271" s="11" t="str">
        <f aca="false">IF(A271="","",INT((A271-'Start here'!$C$5)/7)+1)</f>
        <v/>
      </c>
      <c r="C271" s="20"/>
      <c r="D271" s="20"/>
      <c r="E271" s="20"/>
      <c r="F271" s="11" t="str">
        <f aca="false">IF(COUNT(C271:E271)&lt;3,"",SUM(C271:E271))</f>
        <v/>
      </c>
      <c r="G271" s="12" t="str">
        <f aca="false">IF(F271="","",IF(F271&lt;=6,"Technique and mobility only",IF(F271&lt;=8,"Main lift top set only; −1 set on every accessory; RPE cap 7","Train as planned")))</f>
        <v/>
      </c>
      <c r="H271" s="20"/>
      <c r="I271" s="20"/>
      <c r="J271" s="54"/>
      <c r="K271" s="12" t="str">
        <f aca="false">IF(I271="","",IF(I271&gt;=5,"Drop that pattern this week",IF(I271&gt;=3,"Swap that exercise","OK")))</f>
        <v/>
      </c>
      <c r="L271" s="20"/>
    </row>
    <row r="272" customFormat="false" ht="15" hidden="false" customHeight="false" outlineLevel="0" collapsed="false">
      <c r="A272" s="51"/>
      <c r="B272" s="11" t="str">
        <f aca="false">IF(A272="","",INT((A272-'Start here'!$C$5)/7)+1)</f>
        <v/>
      </c>
      <c r="C272" s="20"/>
      <c r="D272" s="20"/>
      <c r="E272" s="20"/>
      <c r="F272" s="11" t="str">
        <f aca="false">IF(COUNT(C272:E272)&lt;3,"",SUM(C272:E272))</f>
        <v/>
      </c>
      <c r="G272" s="12" t="str">
        <f aca="false">IF(F272="","",IF(F272&lt;=6,"Technique and mobility only",IF(F272&lt;=8,"Main lift top set only; −1 set on every accessory; RPE cap 7","Train as planned")))</f>
        <v/>
      </c>
      <c r="H272" s="20"/>
      <c r="I272" s="20"/>
      <c r="J272" s="54"/>
      <c r="K272" s="12" t="str">
        <f aca="false">IF(I272="","",IF(I272&gt;=5,"Drop that pattern this week",IF(I272&gt;=3,"Swap that exercise","OK")))</f>
        <v/>
      </c>
      <c r="L272" s="20"/>
    </row>
    <row r="273" customFormat="false" ht="15" hidden="false" customHeight="false" outlineLevel="0" collapsed="false">
      <c r="A273" s="51"/>
      <c r="B273" s="11" t="str">
        <f aca="false">IF(A273="","",INT((A273-'Start here'!$C$5)/7)+1)</f>
        <v/>
      </c>
      <c r="C273" s="20"/>
      <c r="D273" s="20"/>
      <c r="E273" s="20"/>
      <c r="F273" s="11" t="str">
        <f aca="false">IF(COUNT(C273:E273)&lt;3,"",SUM(C273:E273))</f>
        <v/>
      </c>
      <c r="G273" s="12" t="str">
        <f aca="false">IF(F273="","",IF(F273&lt;=6,"Technique and mobility only",IF(F273&lt;=8,"Main lift top set only; −1 set on every accessory; RPE cap 7","Train as planned")))</f>
        <v/>
      </c>
      <c r="H273" s="20"/>
      <c r="I273" s="20"/>
      <c r="J273" s="54"/>
      <c r="K273" s="12" t="str">
        <f aca="false">IF(I273="","",IF(I273&gt;=5,"Drop that pattern this week",IF(I273&gt;=3,"Swap that exercise","OK")))</f>
        <v/>
      </c>
      <c r="L273" s="20"/>
    </row>
    <row r="274" customFormat="false" ht="15" hidden="false" customHeight="false" outlineLevel="0" collapsed="false">
      <c r="A274" s="51"/>
      <c r="B274" s="11" t="str">
        <f aca="false">IF(A274="","",INT((A274-'Start here'!$C$5)/7)+1)</f>
        <v/>
      </c>
      <c r="C274" s="20"/>
      <c r="D274" s="20"/>
      <c r="E274" s="20"/>
      <c r="F274" s="11" t="str">
        <f aca="false">IF(COUNT(C274:E274)&lt;3,"",SUM(C274:E274))</f>
        <v/>
      </c>
      <c r="G274" s="12" t="str">
        <f aca="false">IF(F274="","",IF(F274&lt;=6,"Technique and mobility only",IF(F274&lt;=8,"Main lift top set only; −1 set on every accessory; RPE cap 7","Train as planned")))</f>
        <v/>
      </c>
      <c r="H274" s="20"/>
      <c r="I274" s="20"/>
      <c r="J274" s="54"/>
      <c r="K274" s="12" t="str">
        <f aca="false">IF(I274="","",IF(I274&gt;=5,"Drop that pattern this week",IF(I274&gt;=3,"Swap that exercise","OK")))</f>
        <v/>
      </c>
      <c r="L274" s="20"/>
    </row>
    <row r="275" customFormat="false" ht="15" hidden="false" customHeight="false" outlineLevel="0" collapsed="false">
      <c r="A275" s="51"/>
      <c r="B275" s="11" t="str">
        <f aca="false">IF(A275="","",INT((A275-'Start here'!$C$5)/7)+1)</f>
        <v/>
      </c>
      <c r="C275" s="20"/>
      <c r="D275" s="20"/>
      <c r="E275" s="20"/>
      <c r="F275" s="11" t="str">
        <f aca="false">IF(COUNT(C275:E275)&lt;3,"",SUM(C275:E275))</f>
        <v/>
      </c>
      <c r="G275" s="12" t="str">
        <f aca="false">IF(F275="","",IF(F275&lt;=6,"Technique and mobility only",IF(F275&lt;=8,"Main lift top set only; −1 set on every accessory; RPE cap 7","Train as planned")))</f>
        <v/>
      </c>
      <c r="H275" s="20"/>
      <c r="I275" s="20"/>
      <c r="J275" s="54"/>
      <c r="K275" s="12" t="str">
        <f aca="false">IF(I275="","",IF(I275&gt;=5,"Drop that pattern this week",IF(I275&gt;=3,"Swap that exercise","OK")))</f>
        <v/>
      </c>
      <c r="L275" s="20"/>
    </row>
    <row r="276" customFormat="false" ht="15" hidden="false" customHeight="false" outlineLevel="0" collapsed="false">
      <c r="A276" s="51"/>
      <c r="B276" s="11" t="str">
        <f aca="false">IF(A276="","",INT((A276-'Start here'!$C$5)/7)+1)</f>
        <v/>
      </c>
      <c r="C276" s="20"/>
      <c r="D276" s="20"/>
      <c r="E276" s="20"/>
      <c r="F276" s="11" t="str">
        <f aca="false">IF(COUNT(C276:E276)&lt;3,"",SUM(C276:E276))</f>
        <v/>
      </c>
      <c r="G276" s="12" t="str">
        <f aca="false">IF(F276="","",IF(F276&lt;=6,"Technique and mobility only",IF(F276&lt;=8,"Main lift top set only; −1 set on every accessory; RPE cap 7","Train as planned")))</f>
        <v/>
      </c>
      <c r="H276" s="20"/>
      <c r="I276" s="20"/>
      <c r="J276" s="54"/>
      <c r="K276" s="12" t="str">
        <f aca="false">IF(I276="","",IF(I276&gt;=5,"Drop that pattern this week",IF(I276&gt;=3,"Swap that exercise","OK")))</f>
        <v/>
      </c>
      <c r="L276" s="20"/>
    </row>
    <row r="277" customFormat="false" ht="15" hidden="false" customHeight="false" outlineLevel="0" collapsed="false">
      <c r="A277" s="51"/>
      <c r="B277" s="11" t="str">
        <f aca="false">IF(A277="","",INT((A277-'Start here'!$C$5)/7)+1)</f>
        <v/>
      </c>
      <c r="C277" s="20"/>
      <c r="D277" s="20"/>
      <c r="E277" s="20"/>
      <c r="F277" s="11" t="str">
        <f aca="false">IF(COUNT(C277:E277)&lt;3,"",SUM(C277:E277))</f>
        <v/>
      </c>
      <c r="G277" s="12" t="str">
        <f aca="false">IF(F277="","",IF(F277&lt;=6,"Technique and mobility only",IF(F277&lt;=8,"Main lift top set only; −1 set on every accessory; RPE cap 7","Train as planned")))</f>
        <v/>
      </c>
      <c r="H277" s="20"/>
      <c r="I277" s="20"/>
      <c r="J277" s="54"/>
      <c r="K277" s="12" t="str">
        <f aca="false">IF(I277="","",IF(I277&gt;=5,"Drop that pattern this week",IF(I277&gt;=3,"Swap that exercise","OK")))</f>
        <v/>
      </c>
      <c r="L277" s="20"/>
    </row>
    <row r="278" customFormat="false" ht="15" hidden="false" customHeight="false" outlineLevel="0" collapsed="false">
      <c r="A278" s="51"/>
      <c r="B278" s="11" t="str">
        <f aca="false">IF(A278="","",INT((A278-'Start here'!$C$5)/7)+1)</f>
        <v/>
      </c>
      <c r="C278" s="20"/>
      <c r="D278" s="20"/>
      <c r="E278" s="20"/>
      <c r="F278" s="11" t="str">
        <f aca="false">IF(COUNT(C278:E278)&lt;3,"",SUM(C278:E278))</f>
        <v/>
      </c>
      <c r="G278" s="12" t="str">
        <f aca="false">IF(F278="","",IF(F278&lt;=6,"Technique and mobility only",IF(F278&lt;=8,"Main lift top set only; −1 set on every accessory; RPE cap 7","Train as planned")))</f>
        <v/>
      </c>
      <c r="H278" s="20"/>
      <c r="I278" s="20"/>
      <c r="J278" s="54"/>
      <c r="K278" s="12" t="str">
        <f aca="false">IF(I278="","",IF(I278&gt;=5,"Drop that pattern this week",IF(I278&gt;=3,"Swap that exercise","OK")))</f>
        <v/>
      </c>
      <c r="L278" s="20"/>
    </row>
    <row r="279" customFormat="false" ht="15" hidden="false" customHeight="false" outlineLevel="0" collapsed="false">
      <c r="A279" s="51"/>
      <c r="B279" s="11" t="str">
        <f aca="false">IF(A279="","",INT((A279-'Start here'!$C$5)/7)+1)</f>
        <v/>
      </c>
      <c r="C279" s="20"/>
      <c r="D279" s="20"/>
      <c r="E279" s="20"/>
      <c r="F279" s="11" t="str">
        <f aca="false">IF(COUNT(C279:E279)&lt;3,"",SUM(C279:E279))</f>
        <v/>
      </c>
      <c r="G279" s="12" t="str">
        <f aca="false">IF(F279="","",IF(F279&lt;=6,"Technique and mobility only",IF(F279&lt;=8,"Main lift top set only; −1 set on every accessory; RPE cap 7","Train as planned")))</f>
        <v/>
      </c>
      <c r="H279" s="20"/>
      <c r="I279" s="20"/>
      <c r="J279" s="54"/>
      <c r="K279" s="12" t="str">
        <f aca="false">IF(I279="","",IF(I279&gt;=5,"Drop that pattern this week",IF(I279&gt;=3,"Swap that exercise","OK")))</f>
        <v/>
      </c>
      <c r="L279" s="20"/>
    </row>
    <row r="280" customFormat="false" ht="15" hidden="false" customHeight="false" outlineLevel="0" collapsed="false">
      <c r="A280" s="51"/>
      <c r="B280" s="11" t="str">
        <f aca="false">IF(A280="","",INT((A280-'Start here'!$C$5)/7)+1)</f>
        <v/>
      </c>
      <c r="C280" s="20"/>
      <c r="D280" s="20"/>
      <c r="E280" s="20"/>
      <c r="F280" s="11" t="str">
        <f aca="false">IF(COUNT(C280:E280)&lt;3,"",SUM(C280:E280))</f>
        <v/>
      </c>
      <c r="G280" s="12" t="str">
        <f aca="false">IF(F280="","",IF(F280&lt;=6,"Technique and mobility only",IF(F280&lt;=8,"Main lift top set only; −1 set on every accessory; RPE cap 7","Train as planned")))</f>
        <v/>
      </c>
      <c r="H280" s="20"/>
      <c r="I280" s="20"/>
      <c r="J280" s="54"/>
      <c r="K280" s="12" t="str">
        <f aca="false">IF(I280="","",IF(I280&gt;=5,"Drop that pattern this week",IF(I280&gt;=3,"Swap that exercise","OK")))</f>
        <v/>
      </c>
      <c r="L280" s="20"/>
    </row>
    <row r="281" customFormat="false" ht="15" hidden="false" customHeight="false" outlineLevel="0" collapsed="false">
      <c r="A281" s="51"/>
      <c r="B281" s="11" t="str">
        <f aca="false">IF(A281="","",INT((A281-'Start here'!$C$5)/7)+1)</f>
        <v/>
      </c>
      <c r="C281" s="20"/>
      <c r="D281" s="20"/>
      <c r="E281" s="20"/>
      <c r="F281" s="11" t="str">
        <f aca="false">IF(COUNT(C281:E281)&lt;3,"",SUM(C281:E281))</f>
        <v/>
      </c>
      <c r="G281" s="12" t="str">
        <f aca="false">IF(F281="","",IF(F281&lt;=6,"Technique and mobility only",IF(F281&lt;=8,"Main lift top set only; −1 set on every accessory; RPE cap 7","Train as planned")))</f>
        <v/>
      </c>
      <c r="H281" s="20"/>
      <c r="I281" s="20"/>
      <c r="J281" s="54"/>
      <c r="K281" s="12" t="str">
        <f aca="false">IF(I281="","",IF(I281&gt;=5,"Drop that pattern this week",IF(I281&gt;=3,"Swap that exercise","OK")))</f>
        <v/>
      </c>
      <c r="L281" s="20"/>
    </row>
    <row r="282" customFormat="false" ht="15" hidden="false" customHeight="false" outlineLevel="0" collapsed="false">
      <c r="A282" s="51"/>
      <c r="B282" s="11" t="str">
        <f aca="false">IF(A282="","",INT((A282-'Start here'!$C$5)/7)+1)</f>
        <v/>
      </c>
      <c r="C282" s="20"/>
      <c r="D282" s="20"/>
      <c r="E282" s="20"/>
      <c r="F282" s="11" t="str">
        <f aca="false">IF(COUNT(C282:E282)&lt;3,"",SUM(C282:E282))</f>
        <v/>
      </c>
      <c r="G282" s="12" t="str">
        <f aca="false">IF(F282="","",IF(F282&lt;=6,"Technique and mobility only",IF(F282&lt;=8,"Main lift top set only; −1 set on every accessory; RPE cap 7","Train as planned")))</f>
        <v/>
      </c>
      <c r="H282" s="20"/>
      <c r="I282" s="20"/>
      <c r="J282" s="54"/>
      <c r="K282" s="12" t="str">
        <f aca="false">IF(I282="","",IF(I282&gt;=5,"Drop that pattern this week",IF(I282&gt;=3,"Swap that exercise","OK")))</f>
        <v/>
      </c>
      <c r="L282" s="20"/>
    </row>
    <row r="283" customFormat="false" ht="15" hidden="false" customHeight="false" outlineLevel="0" collapsed="false">
      <c r="A283" s="51"/>
      <c r="B283" s="11" t="str">
        <f aca="false">IF(A283="","",INT((A283-'Start here'!$C$5)/7)+1)</f>
        <v/>
      </c>
      <c r="C283" s="20"/>
      <c r="D283" s="20"/>
      <c r="E283" s="20"/>
      <c r="F283" s="11" t="str">
        <f aca="false">IF(COUNT(C283:E283)&lt;3,"",SUM(C283:E283))</f>
        <v/>
      </c>
      <c r="G283" s="12" t="str">
        <f aca="false">IF(F283="","",IF(F283&lt;=6,"Technique and mobility only",IF(F283&lt;=8,"Main lift top set only; −1 set on every accessory; RPE cap 7","Train as planned")))</f>
        <v/>
      </c>
      <c r="H283" s="20"/>
      <c r="I283" s="20"/>
      <c r="J283" s="54"/>
      <c r="K283" s="12" t="str">
        <f aca="false">IF(I283="","",IF(I283&gt;=5,"Drop that pattern this week",IF(I283&gt;=3,"Swap that exercise","OK")))</f>
        <v/>
      </c>
      <c r="L283" s="20"/>
    </row>
    <row r="284" customFormat="false" ht="15" hidden="false" customHeight="false" outlineLevel="0" collapsed="false">
      <c r="A284" s="51"/>
      <c r="B284" s="11" t="str">
        <f aca="false">IF(A284="","",INT((A284-'Start here'!$C$5)/7)+1)</f>
        <v/>
      </c>
      <c r="C284" s="20"/>
      <c r="D284" s="20"/>
      <c r="E284" s="20"/>
      <c r="F284" s="11" t="str">
        <f aca="false">IF(COUNT(C284:E284)&lt;3,"",SUM(C284:E284))</f>
        <v/>
      </c>
      <c r="G284" s="12" t="str">
        <f aca="false">IF(F284="","",IF(F284&lt;=6,"Technique and mobility only",IF(F284&lt;=8,"Main lift top set only; −1 set on every accessory; RPE cap 7","Train as planned")))</f>
        <v/>
      </c>
      <c r="H284" s="20"/>
      <c r="I284" s="20"/>
      <c r="J284" s="54"/>
      <c r="K284" s="12" t="str">
        <f aca="false">IF(I284="","",IF(I284&gt;=5,"Drop that pattern this week",IF(I284&gt;=3,"Swap that exercise","OK")))</f>
        <v/>
      </c>
      <c r="L284" s="20"/>
    </row>
    <row r="285" customFormat="false" ht="15" hidden="false" customHeight="false" outlineLevel="0" collapsed="false">
      <c r="A285" s="51"/>
      <c r="B285" s="11" t="str">
        <f aca="false">IF(A285="","",INT((A285-'Start here'!$C$5)/7)+1)</f>
        <v/>
      </c>
      <c r="C285" s="20"/>
      <c r="D285" s="20"/>
      <c r="E285" s="20"/>
      <c r="F285" s="11" t="str">
        <f aca="false">IF(COUNT(C285:E285)&lt;3,"",SUM(C285:E285))</f>
        <v/>
      </c>
      <c r="G285" s="12" t="str">
        <f aca="false">IF(F285="","",IF(F285&lt;=6,"Technique and mobility only",IF(F285&lt;=8,"Main lift top set only; −1 set on every accessory; RPE cap 7","Train as planned")))</f>
        <v/>
      </c>
      <c r="H285" s="20"/>
      <c r="I285" s="20"/>
      <c r="J285" s="54"/>
      <c r="K285" s="12" t="str">
        <f aca="false">IF(I285="","",IF(I285&gt;=5,"Drop that pattern this week",IF(I285&gt;=3,"Swap that exercise","OK")))</f>
        <v/>
      </c>
      <c r="L285" s="20"/>
    </row>
    <row r="286" customFormat="false" ht="15" hidden="false" customHeight="false" outlineLevel="0" collapsed="false">
      <c r="A286" s="51"/>
      <c r="B286" s="11" t="str">
        <f aca="false">IF(A286="","",INT((A286-'Start here'!$C$5)/7)+1)</f>
        <v/>
      </c>
      <c r="C286" s="20"/>
      <c r="D286" s="20"/>
      <c r="E286" s="20"/>
      <c r="F286" s="11" t="str">
        <f aca="false">IF(COUNT(C286:E286)&lt;3,"",SUM(C286:E286))</f>
        <v/>
      </c>
      <c r="G286" s="12" t="str">
        <f aca="false">IF(F286="","",IF(F286&lt;=6,"Technique and mobility only",IF(F286&lt;=8,"Main lift top set only; −1 set on every accessory; RPE cap 7","Train as planned")))</f>
        <v/>
      </c>
      <c r="H286" s="20"/>
      <c r="I286" s="20"/>
      <c r="J286" s="54"/>
      <c r="K286" s="12" t="str">
        <f aca="false">IF(I286="","",IF(I286&gt;=5,"Drop that pattern this week",IF(I286&gt;=3,"Swap that exercise","OK")))</f>
        <v/>
      </c>
      <c r="L286" s="20"/>
    </row>
    <row r="287" customFormat="false" ht="15" hidden="false" customHeight="false" outlineLevel="0" collapsed="false">
      <c r="A287" s="51"/>
      <c r="B287" s="11" t="str">
        <f aca="false">IF(A287="","",INT((A287-'Start here'!$C$5)/7)+1)</f>
        <v/>
      </c>
      <c r="C287" s="20"/>
      <c r="D287" s="20"/>
      <c r="E287" s="20"/>
      <c r="F287" s="11" t="str">
        <f aca="false">IF(COUNT(C287:E287)&lt;3,"",SUM(C287:E287))</f>
        <v/>
      </c>
      <c r="G287" s="12" t="str">
        <f aca="false">IF(F287="","",IF(F287&lt;=6,"Technique and mobility only",IF(F287&lt;=8,"Main lift top set only; −1 set on every accessory; RPE cap 7","Train as planned")))</f>
        <v/>
      </c>
      <c r="H287" s="20"/>
      <c r="I287" s="20"/>
      <c r="J287" s="54"/>
      <c r="K287" s="12" t="str">
        <f aca="false">IF(I287="","",IF(I287&gt;=5,"Drop that pattern this week",IF(I287&gt;=3,"Swap that exercise","OK")))</f>
        <v/>
      </c>
      <c r="L287" s="20"/>
    </row>
    <row r="288" customFormat="false" ht="15" hidden="false" customHeight="false" outlineLevel="0" collapsed="false">
      <c r="A288" s="51"/>
      <c r="B288" s="11" t="str">
        <f aca="false">IF(A288="","",INT((A288-'Start here'!$C$5)/7)+1)</f>
        <v/>
      </c>
      <c r="C288" s="20"/>
      <c r="D288" s="20"/>
      <c r="E288" s="20"/>
      <c r="F288" s="11" t="str">
        <f aca="false">IF(COUNT(C288:E288)&lt;3,"",SUM(C288:E288))</f>
        <v/>
      </c>
      <c r="G288" s="12" t="str">
        <f aca="false">IF(F288="","",IF(F288&lt;=6,"Technique and mobility only",IF(F288&lt;=8,"Main lift top set only; −1 set on every accessory; RPE cap 7","Train as planned")))</f>
        <v/>
      </c>
      <c r="H288" s="20"/>
      <c r="I288" s="20"/>
      <c r="J288" s="54"/>
      <c r="K288" s="12" t="str">
        <f aca="false">IF(I288="","",IF(I288&gt;=5,"Drop that pattern this week",IF(I288&gt;=3,"Swap that exercise","OK")))</f>
        <v/>
      </c>
      <c r="L288" s="20"/>
    </row>
    <row r="289" customFormat="false" ht="15" hidden="false" customHeight="false" outlineLevel="0" collapsed="false">
      <c r="A289" s="51"/>
      <c r="B289" s="11" t="str">
        <f aca="false">IF(A289="","",INT((A289-'Start here'!$C$5)/7)+1)</f>
        <v/>
      </c>
      <c r="C289" s="20"/>
      <c r="D289" s="20"/>
      <c r="E289" s="20"/>
      <c r="F289" s="11" t="str">
        <f aca="false">IF(COUNT(C289:E289)&lt;3,"",SUM(C289:E289))</f>
        <v/>
      </c>
      <c r="G289" s="12" t="str">
        <f aca="false">IF(F289="","",IF(F289&lt;=6,"Technique and mobility only",IF(F289&lt;=8,"Main lift top set only; −1 set on every accessory; RPE cap 7","Train as planned")))</f>
        <v/>
      </c>
      <c r="H289" s="20"/>
      <c r="I289" s="20"/>
      <c r="J289" s="54"/>
      <c r="K289" s="12" t="str">
        <f aca="false">IF(I289="","",IF(I289&gt;=5,"Drop that pattern this week",IF(I289&gt;=3,"Swap that exercise","OK")))</f>
        <v/>
      </c>
      <c r="L289" s="20"/>
    </row>
    <row r="290" customFormat="false" ht="15" hidden="false" customHeight="false" outlineLevel="0" collapsed="false">
      <c r="A290" s="51"/>
      <c r="B290" s="11" t="str">
        <f aca="false">IF(A290="","",INT((A290-'Start here'!$C$5)/7)+1)</f>
        <v/>
      </c>
      <c r="C290" s="20"/>
      <c r="D290" s="20"/>
      <c r="E290" s="20"/>
      <c r="F290" s="11" t="str">
        <f aca="false">IF(COUNT(C290:E290)&lt;3,"",SUM(C290:E290))</f>
        <v/>
      </c>
      <c r="G290" s="12" t="str">
        <f aca="false">IF(F290="","",IF(F290&lt;=6,"Technique and mobility only",IF(F290&lt;=8,"Main lift top set only; −1 set on every accessory; RPE cap 7","Train as planned")))</f>
        <v/>
      </c>
      <c r="H290" s="20"/>
      <c r="I290" s="20"/>
      <c r="J290" s="54"/>
      <c r="K290" s="12" t="str">
        <f aca="false">IF(I290="","",IF(I290&gt;=5,"Drop that pattern this week",IF(I290&gt;=3,"Swap that exercise","OK")))</f>
        <v/>
      </c>
      <c r="L290" s="20"/>
    </row>
    <row r="291" customFormat="false" ht="15" hidden="false" customHeight="false" outlineLevel="0" collapsed="false">
      <c r="A291" s="51"/>
      <c r="B291" s="11" t="str">
        <f aca="false">IF(A291="","",INT((A291-'Start here'!$C$5)/7)+1)</f>
        <v/>
      </c>
      <c r="C291" s="20"/>
      <c r="D291" s="20"/>
      <c r="E291" s="20"/>
      <c r="F291" s="11" t="str">
        <f aca="false">IF(COUNT(C291:E291)&lt;3,"",SUM(C291:E291))</f>
        <v/>
      </c>
      <c r="G291" s="12" t="str">
        <f aca="false">IF(F291="","",IF(F291&lt;=6,"Technique and mobility only",IF(F291&lt;=8,"Main lift top set only; −1 set on every accessory; RPE cap 7","Train as planned")))</f>
        <v/>
      </c>
      <c r="H291" s="20"/>
      <c r="I291" s="20"/>
      <c r="J291" s="54"/>
      <c r="K291" s="12" t="str">
        <f aca="false">IF(I291="","",IF(I291&gt;=5,"Drop that pattern this week",IF(I291&gt;=3,"Swap that exercise","OK")))</f>
        <v/>
      </c>
      <c r="L291" s="20"/>
    </row>
    <row r="292" customFormat="false" ht="15" hidden="false" customHeight="false" outlineLevel="0" collapsed="false">
      <c r="A292" s="51"/>
      <c r="B292" s="11" t="str">
        <f aca="false">IF(A292="","",INT((A292-'Start here'!$C$5)/7)+1)</f>
        <v/>
      </c>
      <c r="C292" s="20"/>
      <c r="D292" s="20"/>
      <c r="E292" s="20"/>
      <c r="F292" s="11" t="str">
        <f aca="false">IF(COUNT(C292:E292)&lt;3,"",SUM(C292:E292))</f>
        <v/>
      </c>
      <c r="G292" s="12" t="str">
        <f aca="false">IF(F292="","",IF(F292&lt;=6,"Technique and mobility only",IF(F292&lt;=8,"Main lift top set only; −1 set on every accessory; RPE cap 7","Train as planned")))</f>
        <v/>
      </c>
      <c r="H292" s="20"/>
      <c r="I292" s="20"/>
      <c r="J292" s="54"/>
      <c r="K292" s="12" t="str">
        <f aca="false">IF(I292="","",IF(I292&gt;=5,"Drop that pattern this week",IF(I292&gt;=3,"Swap that exercise","OK")))</f>
        <v/>
      </c>
      <c r="L292" s="20"/>
    </row>
    <row r="293" customFormat="false" ht="15" hidden="false" customHeight="false" outlineLevel="0" collapsed="false">
      <c r="A293" s="51"/>
      <c r="B293" s="11" t="str">
        <f aca="false">IF(A293="","",INT((A293-'Start here'!$C$5)/7)+1)</f>
        <v/>
      </c>
      <c r="C293" s="20"/>
      <c r="D293" s="20"/>
      <c r="E293" s="20"/>
      <c r="F293" s="11" t="str">
        <f aca="false">IF(COUNT(C293:E293)&lt;3,"",SUM(C293:E293))</f>
        <v/>
      </c>
      <c r="G293" s="12" t="str">
        <f aca="false">IF(F293="","",IF(F293&lt;=6,"Technique and mobility only",IF(F293&lt;=8,"Main lift top set only; −1 set on every accessory; RPE cap 7","Train as planned")))</f>
        <v/>
      </c>
      <c r="H293" s="20"/>
      <c r="I293" s="20"/>
      <c r="J293" s="54"/>
      <c r="K293" s="12" t="str">
        <f aca="false">IF(I293="","",IF(I293&gt;=5,"Drop that pattern this week",IF(I293&gt;=3,"Swap that exercise","OK")))</f>
        <v/>
      </c>
      <c r="L293" s="20"/>
    </row>
    <row r="294" customFormat="false" ht="15" hidden="false" customHeight="false" outlineLevel="0" collapsed="false">
      <c r="A294" s="51"/>
      <c r="B294" s="11" t="str">
        <f aca="false">IF(A294="","",INT((A294-'Start here'!$C$5)/7)+1)</f>
        <v/>
      </c>
      <c r="C294" s="20"/>
      <c r="D294" s="20"/>
      <c r="E294" s="20"/>
      <c r="F294" s="11" t="str">
        <f aca="false">IF(COUNT(C294:E294)&lt;3,"",SUM(C294:E294))</f>
        <v/>
      </c>
      <c r="G294" s="12" t="str">
        <f aca="false">IF(F294="","",IF(F294&lt;=6,"Technique and mobility only",IF(F294&lt;=8,"Main lift top set only; −1 set on every accessory; RPE cap 7","Train as planned")))</f>
        <v/>
      </c>
      <c r="H294" s="20"/>
      <c r="I294" s="20"/>
      <c r="J294" s="54"/>
      <c r="K294" s="12" t="str">
        <f aca="false">IF(I294="","",IF(I294&gt;=5,"Drop that pattern this week",IF(I294&gt;=3,"Swap that exercise","OK")))</f>
        <v/>
      </c>
      <c r="L294" s="20"/>
    </row>
    <row r="295" customFormat="false" ht="15" hidden="false" customHeight="false" outlineLevel="0" collapsed="false">
      <c r="A295" s="51"/>
      <c r="B295" s="11" t="str">
        <f aca="false">IF(A295="","",INT((A295-'Start here'!$C$5)/7)+1)</f>
        <v/>
      </c>
      <c r="C295" s="20"/>
      <c r="D295" s="20"/>
      <c r="E295" s="20"/>
      <c r="F295" s="11" t="str">
        <f aca="false">IF(COUNT(C295:E295)&lt;3,"",SUM(C295:E295))</f>
        <v/>
      </c>
      <c r="G295" s="12" t="str">
        <f aca="false">IF(F295="","",IF(F295&lt;=6,"Technique and mobility only",IF(F295&lt;=8,"Main lift top set only; −1 set on every accessory; RPE cap 7","Train as planned")))</f>
        <v/>
      </c>
      <c r="H295" s="20"/>
      <c r="I295" s="20"/>
      <c r="J295" s="54"/>
      <c r="K295" s="12" t="str">
        <f aca="false">IF(I295="","",IF(I295&gt;=5,"Drop that pattern this week",IF(I295&gt;=3,"Swap that exercise","OK")))</f>
        <v/>
      </c>
      <c r="L295" s="20"/>
    </row>
    <row r="296" customFormat="false" ht="15" hidden="false" customHeight="false" outlineLevel="0" collapsed="false">
      <c r="A296" s="51"/>
      <c r="B296" s="11" t="str">
        <f aca="false">IF(A296="","",INT((A296-'Start here'!$C$5)/7)+1)</f>
        <v/>
      </c>
      <c r="C296" s="20"/>
      <c r="D296" s="20"/>
      <c r="E296" s="20"/>
      <c r="F296" s="11" t="str">
        <f aca="false">IF(COUNT(C296:E296)&lt;3,"",SUM(C296:E296))</f>
        <v/>
      </c>
      <c r="G296" s="12" t="str">
        <f aca="false">IF(F296="","",IF(F296&lt;=6,"Technique and mobility only",IF(F296&lt;=8,"Main lift top set only; −1 set on every accessory; RPE cap 7","Train as planned")))</f>
        <v/>
      </c>
      <c r="H296" s="20"/>
      <c r="I296" s="20"/>
      <c r="J296" s="54"/>
      <c r="K296" s="12" t="str">
        <f aca="false">IF(I296="","",IF(I296&gt;=5,"Drop that pattern this week",IF(I296&gt;=3,"Swap that exercise","OK")))</f>
        <v/>
      </c>
      <c r="L296" s="20"/>
    </row>
    <row r="297" customFormat="false" ht="15" hidden="false" customHeight="false" outlineLevel="0" collapsed="false">
      <c r="A297" s="51"/>
      <c r="B297" s="11" t="str">
        <f aca="false">IF(A297="","",INT((A297-'Start here'!$C$5)/7)+1)</f>
        <v/>
      </c>
      <c r="C297" s="20"/>
      <c r="D297" s="20"/>
      <c r="E297" s="20"/>
      <c r="F297" s="11" t="str">
        <f aca="false">IF(COUNT(C297:E297)&lt;3,"",SUM(C297:E297))</f>
        <v/>
      </c>
      <c r="G297" s="12" t="str">
        <f aca="false">IF(F297="","",IF(F297&lt;=6,"Technique and mobility only",IF(F297&lt;=8,"Main lift top set only; −1 set on every accessory; RPE cap 7","Train as planned")))</f>
        <v/>
      </c>
      <c r="H297" s="20"/>
      <c r="I297" s="20"/>
      <c r="J297" s="54"/>
      <c r="K297" s="12" t="str">
        <f aca="false">IF(I297="","",IF(I297&gt;=5,"Drop that pattern this week",IF(I297&gt;=3,"Swap that exercise","OK")))</f>
        <v/>
      </c>
      <c r="L297" s="20"/>
    </row>
    <row r="298" customFormat="false" ht="15" hidden="false" customHeight="false" outlineLevel="0" collapsed="false">
      <c r="A298" s="51"/>
      <c r="B298" s="11" t="str">
        <f aca="false">IF(A298="","",INT((A298-'Start here'!$C$5)/7)+1)</f>
        <v/>
      </c>
      <c r="C298" s="20"/>
      <c r="D298" s="20"/>
      <c r="E298" s="20"/>
      <c r="F298" s="11" t="str">
        <f aca="false">IF(COUNT(C298:E298)&lt;3,"",SUM(C298:E298))</f>
        <v/>
      </c>
      <c r="G298" s="12" t="str">
        <f aca="false">IF(F298="","",IF(F298&lt;=6,"Technique and mobility only",IF(F298&lt;=8,"Main lift top set only; −1 set on every accessory; RPE cap 7","Train as planned")))</f>
        <v/>
      </c>
      <c r="H298" s="20"/>
      <c r="I298" s="20"/>
      <c r="J298" s="54"/>
      <c r="K298" s="12" t="str">
        <f aca="false">IF(I298="","",IF(I298&gt;=5,"Drop that pattern this week",IF(I298&gt;=3,"Swap that exercise","OK")))</f>
        <v/>
      </c>
      <c r="L298" s="20"/>
    </row>
    <row r="299" customFormat="false" ht="15" hidden="false" customHeight="false" outlineLevel="0" collapsed="false">
      <c r="A299" s="51"/>
      <c r="B299" s="11" t="str">
        <f aca="false">IF(A299="","",INT((A299-'Start here'!$C$5)/7)+1)</f>
        <v/>
      </c>
      <c r="C299" s="20"/>
      <c r="D299" s="20"/>
      <c r="E299" s="20"/>
      <c r="F299" s="11" t="str">
        <f aca="false">IF(COUNT(C299:E299)&lt;3,"",SUM(C299:E299))</f>
        <v/>
      </c>
      <c r="G299" s="12" t="str">
        <f aca="false">IF(F299="","",IF(F299&lt;=6,"Technique and mobility only",IF(F299&lt;=8,"Main lift top set only; −1 set on every accessory; RPE cap 7","Train as planned")))</f>
        <v/>
      </c>
      <c r="H299" s="20"/>
      <c r="I299" s="20"/>
      <c r="J299" s="54"/>
      <c r="K299" s="12" t="str">
        <f aca="false">IF(I299="","",IF(I299&gt;=5,"Drop that pattern this week",IF(I299&gt;=3,"Swap that exercise","OK")))</f>
        <v/>
      </c>
      <c r="L299" s="20"/>
    </row>
    <row r="300" customFormat="false" ht="15" hidden="false" customHeight="false" outlineLevel="0" collapsed="false">
      <c r="A300" s="51"/>
      <c r="B300" s="11" t="str">
        <f aca="false">IF(A300="","",INT((A300-'Start here'!$C$5)/7)+1)</f>
        <v/>
      </c>
      <c r="C300" s="20"/>
      <c r="D300" s="20"/>
      <c r="E300" s="20"/>
      <c r="F300" s="11" t="str">
        <f aca="false">IF(COUNT(C300:E300)&lt;3,"",SUM(C300:E300))</f>
        <v/>
      </c>
      <c r="G300" s="12" t="str">
        <f aca="false">IF(F300="","",IF(F300&lt;=6,"Technique and mobility only",IF(F300&lt;=8,"Main lift top set only; −1 set on every accessory; RPE cap 7","Train as planned")))</f>
        <v/>
      </c>
      <c r="H300" s="20"/>
      <c r="I300" s="20"/>
      <c r="J300" s="54"/>
      <c r="K300" s="12" t="str">
        <f aca="false">IF(I300="","",IF(I300&gt;=5,"Drop that pattern this week",IF(I300&gt;=3,"Swap that exercise","OK")))</f>
        <v/>
      </c>
      <c r="L300" s="20"/>
    </row>
    <row r="301" customFormat="false" ht="15" hidden="false" customHeight="false" outlineLevel="0" collapsed="false">
      <c r="A301" s="51"/>
      <c r="B301" s="11" t="str">
        <f aca="false">IF(A301="","",INT((A301-'Start here'!$C$5)/7)+1)</f>
        <v/>
      </c>
      <c r="C301" s="20"/>
      <c r="D301" s="20"/>
      <c r="E301" s="20"/>
      <c r="F301" s="11" t="str">
        <f aca="false">IF(COUNT(C301:E301)&lt;3,"",SUM(C301:E301))</f>
        <v/>
      </c>
      <c r="G301" s="12" t="str">
        <f aca="false">IF(F301="","",IF(F301&lt;=6,"Technique and mobility only",IF(F301&lt;=8,"Main lift top set only; −1 set on every accessory; RPE cap 7","Train as planned")))</f>
        <v/>
      </c>
      <c r="H301" s="20"/>
      <c r="I301" s="20"/>
      <c r="J301" s="54"/>
      <c r="K301" s="12" t="str">
        <f aca="false">IF(I301="","",IF(I301&gt;=5,"Drop that pattern this week",IF(I301&gt;=3,"Swap that exercise","OK")))</f>
        <v/>
      </c>
      <c r="L301" s="20"/>
    </row>
    <row r="303" customFormat="false" ht="15" hidden="false" customHeight="false" outlineLevel="0" collapsed="false">
      <c r="A303" s="2" t="s">
        <v>434</v>
      </c>
    </row>
  </sheetData>
  <conditionalFormatting sqref="G2:G301">
    <cfRule type="expression" priority="2" aboveAverage="0" equalAverage="0" bottom="0" percent="0" rank="0" text="" dxfId="2">
      <formula>LEFT($G2,5)="Train"</formula>
    </cfRule>
    <cfRule type="expression" priority="3" aboveAverage="0" equalAverage="0" bottom="0" percent="0" rank="0" text="" dxfId="4">
      <formula>AND($G2&lt;&gt;"",LEFT($G2,5)&lt;&gt;"Train")</formula>
    </cfRule>
  </conditionalFormatting>
  <dataValidations count="3">
    <dataValidation allowBlank="true" errorStyle="stop" operator="between" showDropDown="false" showErrorMessage="false" showInputMessage="false" sqref="C2:E301" type="whole">
      <formula1>1</formula1>
      <formula2>5</formula2>
    </dataValidation>
    <dataValidation allowBlank="true" errorStyle="stop" operator="between" showDropDown="false" showErrorMessage="false" showInputMessage="false" sqref="H2:H301" type="list">
      <formula1>"Y,N"</formula1>
      <formula2>0</formula2>
    </dataValidation>
    <dataValidation allowBlank="true" errorStyle="stop" operator="between" showDropDown="false" showErrorMessage="false" showInputMessage="false" sqref="I2:I301" type="whole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9"/>
  </cols>
  <sheetData>
    <row r="1" customFormat="false" ht="30" hidden="false" customHeight="true" outlineLevel="0" collapsed="false">
      <c r="A1" s="17" t="s">
        <v>435</v>
      </c>
      <c r="B1" s="17" t="s">
        <v>436</v>
      </c>
      <c r="C1" s="17" t="s">
        <v>437</v>
      </c>
      <c r="D1" s="17" t="s">
        <v>438</v>
      </c>
      <c r="E1" s="17" t="s">
        <v>439</v>
      </c>
      <c r="F1" s="17" t="s">
        <v>440</v>
      </c>
      <c r="G1" s="17" t="s">
        <v>441</v>
      </c>
      <c r="H1" s="17" t="s">
        <v>442</v>
      </c>
      <c r="I1" s="17" t="s">
        <v>443</v>
      </c>
      <c r="J1" s="17" t="s">
        <v>441</v>
      </c>
    </row>
    <row r="2" customFormat="false" ht="15" hidden="false" customHeight="false" outlineLevel="0" collapsed="false">
      <c r="A2" s="12" t="s">
        <v>444</v>
      </c>
      <c r="B2" s="12" t="s">
        <v>445</v>
      </c>
      <c r="C2" s="11" t="s">
        <v>446</v>
      </c>
      <c r="D2" s="20"/>
      <c r="E2" s="20"/>
      <c r="F2" s="20"/>
      <c r="G2" s="55" t="str">
        <f aca="false">IF(OR(E2="",F2="",E2=0),"",F2/E2-1)</f>
        <v/>
      </c>
      <c r="H2" s="20"/>
      <c r="I2" s="20"/>
      <c r="J2" s="55" t="str">
        <f aca="false">IF(OR(F2="",I2="",F2=0),"",I2/F2-1)</f>
        <v/>
      </c>
    </row>
    <row r="3" customFormat="false" ht="15" hidden="false" customHeight="false" outlineLevel="0" collapsed="false">
      <c r="A3" s="12" t="s">
        <v>447</v>
      </c>
      <c r="B3" s="12" t="s">
        <v>448</v>
      </c>
      <c r="C3" s="11" t="s">
        <v>446</v>
      </c>
      <c r="D3" s="20"/>
      <c r="E3" s="20"/>
      <c r="F3" s="20"/>
      <c r="G3" s="55" t="str">
        <f aca="false">IF(OR(E3="",F3="",E3=0),"",F3/E3-1)</f>
        <v/>
      </c>
      <c r="H3" s="20"/>
      <c r="I3" s="20"/>
      <c r="J3" s="55" t="str">
        <f aca="false">IF(OR(F3="",I3="",F3=0),"",I3/F3-1)</f>
        <v/>
      </c>
    </row>
    <row r="4" customFormat="false" ht="15" hidden="false" customHeight="false" outlineLevel="0" collapsed="false">
      <c r="A4" s="12" t="s">
        <v>449</v>
      </c>
      <c r="B4" s="12" t="s">
        <v>450</v>
      </c>
      <c r="C4" s="11" t="s">
        <v>446</v>
      </c>
      <c r="D4" s="20"/>
      <c r="E4" s="20"/>
      <c r="F4" s="20"/>
      <c r="G4" s="55" t="str">
        <f aca="false">IF(OR(E4="",F4="",E4=0),"",F4/E4-1)</f>
        <v/>
      </c>
      <c r="H4" s="20"/>
      <c r="I4" s="20"/>
      <c r="J4" s="55" t="str">
        <f aca="false">IF(OR(F4="",I4="",F4=0),"",I4/F4-1)</f>
        <v/>
      </c>
    </row>
    <row r="5" customFormat="false" ht="15" hidden="false" customHeight="false" outlineLevel="0" collapsed="false">
      <c r="A5" s="12" t="s">
        <v>451</v>
      </c>
      <c r="B5" s="12" t="s">
        <v>450</v>
      </c>
      <c r="C5" s="11" t="s">
        <v>446</v>
      </c>
      <c r="D5" s="20"/>
      <c r="E5" s="20"/>
      <c r="F5" s="20"/>
      <c r="G5" s="55" t="str">
        <f aca="false">IF(OR(E5="",F5="",E5=0),"",F5/E5-1)</f>
        <v/>
      </c>
      <c r="H5" s="20"/>
      <c r="I5" s="20"/>
      <c r="J5" s="55" t="str">
        <f aca="false">IF(OR(F5="",I5="",F5=0),"",I5/F5-1)</f>
        <v/>
      </c>
    </row>
    <row r="6" customFormat="false" ht="23.85" hidden="false" customHeight="false" outlineLevel="0" collapsed="false">
      <c r="A6" s="12" t="s">
        <v>452</v>
      </c>
      <c r="B6" s="12" t="s">
        <v>453</v>
      </c>
      <c r="C6" s="11" t="s">
        <v>446</v>
      </c>
      <c r="D6" s="20"/>
      <c r="E6" s="20"/>
      <c r="F6" s="20"/>
      <c r="G6" s="55" t="str">
        <f aca="false">IF(OR(E6="",F6="",E6=0),"",F6/E6-1)</f>
        <v/>
      </c>
      <c r="H6" s="20"/>
      <c r="I6" s="20"/>
      <c r="J6" s="55" t="str">
        <f aca="false">IF(OR(F6="",I6="",F6=0),"",I6/F6-1)</f>
        <v/>
      </c>
    </row>
    <row r="7" customFormat="false" ht="23.85" hidden="false" customHeight="false" outlineLevel="0" collapsed="false">
      <c r="A7" s="12" t="s">
        <v>454</v>
      </c>
      <c r="B7" s="12" t="s">
        <v>455</v>
      </c>
      <c r="C7" s="11" t="s">
        <v>446</v>
      </c>
      <c r="D7" s="20"/>
      <c r="E7" s="20"/>
      <c r="F7" s="20"/>
      <c r="G7" s="55" t="str">
        <f aca="false">IF(OR(E7="",F7="",E7=0),"",F7/E7-1)</f>
        <v/>
      </c>
      <c r="H7" s="20"/>
      <c r="I7" s="20"/>
      <c r="J7" s="55" t="str">
        <f aca="false">IF(OR(F7="",I7="",F7=0),"",I7/F7-1)</f>
        <v/>
      </c>
    </row>
    <row r="8" customFormat="false" ht="15" hidden="false" customHeight="false" outlineLevel="0" collapsed="false">
      <c r="A8" s="12" t="s">
        <v>456</v>
      </c>
      <c r="B8" s="12" t="s">
        <v>457</v>
      </c>
      <c r="C8" s="11" t="s">
        <v>446</v>
      </c>
      <c r="D8" s="20"/>
      <c r="E8" s="20"/>
      <c r="F8" s="20"/>
      <c r="G8" s="55" t="str">
        <f aca="false">IF(OR(E8="",F8="",E8=0),"",F8/E8-1)</f>
        <v/>
      </c>
      <c r="H8" s="20"/>
      <c r="I8" s="20"/>
      <c r="J8" s="55" t="str">
        <f aca="false">IF(OR(F8="",I8="",F8=0),"",I8/F8-1)</f>
        <v/>
      </c>
    </row>
    <row r="9" customFormat="false" ht="15" hidden="false" customHeight="false" outlineLevel="0" collapsed="false">
      <c r="A9" s="12" t="s">
        <v>458</v>
      </c>
      <c r="B9" s="12" t="s">
        <v>459</v>
      </c>
      <c r="C9" s="11" t="s">
        <v>460</v>
      </c>
      <c r="D9" s="20"/>
      <c r="E9" s="20"/>
      <c r="F9" s="20"/>
      <c r="G9" s="55" t="str">
        <f aca="false">IF(OR(E9="",F9="",E9=0),"",F9/E9-1)</f>
        <v/>
      </c>
      <c r="H9" s="20"/>
      <c r="I9" s="20"/>
      <c r="J9" s="55" t="str">
        <f aca="false">IF(OR(F9="",I9="",F9=0),"",I9/F9-1)</f>
        <v/>
      </c>
    </row>
    <row r="10" customFormat="false" ht="15" hidden="false" customHeight="false" outlineLevel="0" collapsed="false">
      <c r="A10" s="12" t="s">
        <v>333</v>
      </c>
      <c r="B10" s="12" t="s">
        <v>461</v>
      </c>
      <c r="C10" s="11" t="s">
        <v>446</v>
      </c>
      <c r="D10" s="20"/>
      <c r="E10" s="20"/>
      <c r="F10" s="20"/>
      <c r="G10" s="55" t="str">
        <f aca="false">IF(OR(E10="",F10="",E10=0),"",F10/E10-1)</f>
        <v/>
      </c>
      <c r="H10" s="20"/>
      <c r="I10" s="20"/>
      <c r="J10" s="55" t="str">
        <f aca="false">IF(OR(F10="",I10="",F10=0),"",I10/F10-1)</f>
        <v/>
      </c>
    </row>
    <row r="11" customFormat="false" ht="15" hidden="false" customHeight="false" outlineLevel="0" collapsed="false">
      <c r="A11" s="12" t="s">
        <v>462</v>
      </c>
      <c r="B11" s="12" t="s">
        <v>463</v>
      </c>
      <c r="C11" s="11" t="s">
        <v>446</v>
      </c>
      <c r="D11" s="20"/>
      <c r="E11" s="20"/>
      <c r="F11" s="20"/>
      <c r="G11" s="55" t="str">
        <f aca="false">IF(OR(E11="",F11="",E11=0),"",F11/E11-1)</f>
        <v/>
      </c>
      <c r="H11" s="20"/>
      <c r="I11" s="20"/>
      <c r="J11" s="55" t="str">
        <f aca="false">IF(OR(F11="",I11="",F11=0),"",I11/F11-1)</f>
        <v/>
      </c>
    </row>
    <row r="12" customFormat="false" ht="15" hidden="false" customHeight="false" outlineLevel="0" collapsed="false">
      <c r="A12" s="12" t="s">
        <v>464</v>
      </c>
      <c r="B12" s="12" t="s">
        <v>465</v>
      </c>
      <c r="C12" s="11" t="s">
        <v>446</v>
      </c>
      <c r="D12" s="20"/>
      <c r="E12" s="20"/>
      <c r="F12" s="20"/>
      <c r="G12" s="55" t="str">
        <f aca="false">IF(OR(E12="",F12="",E12=0),"",F12/E12-1)</f>
        <v/>
      </c>
      <c r="H12" s="20"/>
      <c r="I12" s="20"/>
      <c r="J12" s="55" t="str">
        <f aca="false">IF(OR(F12="",I12="",F12=0),"",I12/F12-1)</f>
        <v/>
      </c>
    </row>
    <row r="13" customFormat="false" ht="15" hidden="false" customHeight="false" outlineLevel="0" collapsed="false">
      <c r="A13" s="12" t="s">
        <v>466</v>
      </c>
      <c r="B13" s="12" t="s">
        <v>467</v>
      </c>
      <c r="C13" s="11" t="s">
        <v>446</v>
      </c>
      <c r="D13" s="20"/>
      <c r="E13" s="20"/>
      <c r="F13" s="20"/>
      <c r="G13" s="55" t="str">
        <f aca="false">IF(OR(E13="",F13="",E13=0),"",F13/E13-1)</f>
        <v/>
      </c>
      <c r="H13" s="20"/>
      <c r="I13" s="20"/>
      <c r="J13" s="55" t="str">
        <f aca="false">IF(OR(F13="",I13="",F13=0),"",I13/F13-1)</f>
        <v/>
      </c>
    </row>
    <row r="14" customFormat="false" ht="15" hidden="false" customHeight="false" outlineLevel="0" collapsed="false">
      <c r="A14" s="12" t="s">
        <v>468</v>
      </c>
      <c r="B14" s="12" t="s">
        <v>469</v>
      </c>
      <c r="C14" s="11" t="s">
        <v>460</v>
      </c>
      <c r="D14" s="20"/>
      <c r="E14" s="20"/>
      <c r="F14" s="20"/>
      <c r="G14" s="55" t="str">
        <f aca="false">IF(OR(E14="",F14="",E14=0),"",F14/E14-1)</f>
        <v/>
      </c>
      <c r="H14" s="20"/>
      <c r="I14" s="20"/>
      <c r="J14" s="55" t="str">
        <f aca="false">IF(OR(F14="",I14="",F14=0),"",I14/F14-1)</f>
        <v/>
      </c>
    </row>
    <row r="15" customFormat="false" ht="15" hidden="false" customHeight="false" outlineLevel="0" collapsed="false">
      <c r="A15" s="12" t="s">
        <v>470</v>
      </c>
      <c r="B15" s="12" t="s">
        <v>471</v>
      </c>
      <c r="C15" s="11" t="s">
        <v>446</v>
      </c>
      <c r="D15" s="20"/>
      <c r="E15" s="20"/>
      <c r="F15" s="20"/>
      <c r="G15" s="55" t="str">
        <f aca="false">IF(OR(E15="",F15="",E15=0),"",F15/E15-1)</f>
        <v/>
      </c>
      <c r="H15" s="20"/>
      <c r="I15" s="20"/>
      <c r="J15" s="55" t="str">
        <f aca="false">IF(OR(F15="",I15="",F15=0),"",I15/F15-1)</f>
        <v/>
      </c>
    </row>
    <row r="17" customFormat="false" ht="15" hidden="false" customHeight="false" outlineLevel="0" collapsed="false">
      <c r="A17" s="2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36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7" t="s">
        <v>82</v>
      </c>
      <c r="B1" s="17" t="s">
        <v>473</v>
      </c>
      <c r="C1" s="17" t="s">
        <v>474</v>
      </c>
      <c r="D1" s="17" t="s">
        <v>475</v>
      </c>
      <c r="E1" s="17" t="s">
        <v>476</v>
      </c>
    </row>
    <row r="2" customFormat="false" ht="43.5" hidden="false" customHeight="true" outlineLevel="0" collapsed="false">
      <c r="A2" s="56" t="s">
        <v>477</v>
      </c>
      <c r="B2" s="12" t="s">
        <v>478</v>
      </c>
      <c r="C2" s="12" t="s">
        <v>479</v>
      </c>
      <c r="D2" s="12" t="s">
        <v>480</v>
      </c>
      <c r="E2" s="12" t="s">
        <v>481</v>
      </c>
    </row>
    <row r="3" customFormat="false" ht="43.5" hidden="false" customHeight="true" outlineLevel="0" collapsed="false">
      <c r="A3" s="56" t="s">
        <v>135</v>
      </c>
      <c r="B3" s="12" t="s">
        <v>482</v>
      </c>
      <c r="C3" s="12" t="s">
        <v>483</v>
      </c>
      <c r="D3" s="12" t="s">
        <v>484</v>
      </c>
      <c r="E3" s="12" t="s">
        <v>485</v>
      </c>
    </row>
    <row r="4" customFormat="false" ht="43.5" hidden="false" customHeight="true" outlineLevel="0" collapsed="false">
      <c r="A4" s="56" t="s">
        <v>486</v>
      </c>
      <c r="B4" s="12" t="s">
        <v>487</v>
      </c>
      <c r="C4" s="12" t="s">
        <v>488</v>
      </c>
      <c r="D4" s="12" t="s">
        <v>489</v>
      </c>
      <c r="E4" s="12" t="s">
        <v>490</v>
      </c>
    </row>
    <row r="5" customFormat="false" ht="43.5" hidden="false" customHeight="true" outlineLevel="0" collapsed="false">
      <c r="A5" s="56" t="s">
        <v>165</v>
      </c>
      <c r="B5" s="12" t="s">
        <v>491</v>
      </c>
      <c r="C5" s="12" t="s">
        <v>492</v>
      </c>
      <c r="D5" s="12" t="s">
        <v>493</v>
      </c>
      <c r="E5" s="12" t="s">
        <v>494</v>
      </c>
    </row>
    <row r="6" customFormat="false" ht="43.5" hidden="false" customHeight="true" outlineLevel="0" collapsed="false">
      <c r="A6" s="56" t="s">
        <v>495</v>
      </c>
      <c r="B6" s="12" t="s">
        <v>496</v>
      </c>
      <c r="C6" s="12" t="s">
        <v>497</v>
      </c>
      <c r="D6" s="12" t="s">
        <v>498</v>
      </c>
      <c r="E6" s="12" t="s">
        <v>499</v>
      </c>
    </row>
    <row r="7" customFormat="false" ht="43.5" hidden="false" customHeight="true" outlineLevel="0" collapsed="false">
      <c r="A7" s="56" t="s">
        <v>162</v>
      </c>
      <c r="B7" s="12" t="s">
        <v>500</v>
      </c>
      <c r="C7" s="12" t="s">
        <v>501</v>
      </c>
      <c r="D7" s="12" t="s">
        <v>502</v>
      </c>
      <c r="E7" s="12" t="s">
        <v>503</v>
      </c>
    </row>
    <row r="8" customFormat="false" ht="43.5" hidden="false" customHeight="true" outlineLevel="0" collapsed="false">
      <c r="A8" s="56" t="s">
        <v>504</v>
      </c>
      <c r="B8" s="12" t="s">
        <v>505</v>
      </c>
      <c r="C8" s="12" t="s">
        <v>506</v>
      </c>
      <c r="D8" s="12" t="s">
        <v>507</v>
      </c>
      <c r="E8" s="12" t="s">
        <v>508</v>
      </c>
    </row>
    <row r="9" customFormat="false" ht="43.5" hidden="false" customHeight="true" outlineLevel="0" collapsed="false">
      <c r="A9" s="56" t="s">
        <v>509</v>
      </c>
      <c r="B9" s="12" t="s">
        <v>510</v>
      </c>
      <c r="C9" s="12" t="s">
        <v>511</v>
      </c>
      <c r="D9" s="12" t="s">
        <v>512</v>
      </c>
      <c r="E9" s="12" t="s">
        <v>513</v>
      </c>
    </row>
    <row r="10" customFormat="false" ht="43.5" hidden="false" customHeight="true" outlineLevel="0" collapsed="false">
      <c r="A10" s="56" t="s">
        <v>514</v>
      </c>
      <c r="B10" s="12" t="s">
        <v>515</v>
      </c>
      <c r="C10" s="12" t="s">
        <v>276</v>
      </c>
      <c r="D10" s="12" t="s">
        <v>516</v>
      </c>
      <c r="E10" s="12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7" t="s">
        <v>518</v>
      </c>
      <c r="B1" s="17" t="s">
        <v>519</v>
      </c>
      <c r="C1" s="17" t="s">
        <v>520</v>
      </c>
      <c r="D1" s="17" t="s">
        <v>18</v>
      </c>
      <c r="E1" s="17" t="s">
        <v>521</v>
      </c>
    </row>
    <row r="2" customFormat="false" ht="15" hidden="false" customHeight="false" outlineLevel="0" collapsed="false">
      <c r="A2" s="12" t="s">
        <v>522</v>
      </c>
      <c r="B2" s="12" t="s">
        <v>523</v>
      </c>
      <c r="C2" s="12" t="s">
        <v>524</v>
      </c>
      <c r="D2" s="12" t="s">
        <v>525</v>
      </c>
      <c r="E2" s="12" t="s">
        <v>526</v>
      </c>
    </row>
    <row r="3" customFormat="false" ht="15" hidden="false" customHeight="false" outlineLevel="0" collapsed="false">
      <c r="A3" s="12" t="s">
        <v>522</v>
      </c>
      <c r="B3" s="12" t="s">
        <v>527</v>
      </c>
      <c r="C3" s="12" t="s">
        <v>223</v>
      </c>
      <c r="D3" s="12" t="s">
        <v>35</v>
      </c>
      <c r="E3" s="12" t="s">
        <v>526</v>
      </c>
    </row>
    <row r="4" customFormat="false" ht="15" hidden="false" customHeight="false" outlineLevel="0" collapsed="false">
      <c r="A4" s="12" t="s">
        <v>522</v>
      </c>
      <c r="B4" s="12" t="s">
        <v>159</v>
      </c>
      <c r="C4" s="12" t="s">
        <v>158</v>
      </c>
      <c r="D4" s="12" t="s">
        <v>30</v>
      </c>
      <c r="E4" s="12" t="s">
        <v>526</v>
      </c>
    </row>
    <row r="5" customFormat="false" ht="15" hidden="false" customHeight="false" outlineLevel="0" collapsed="false">
      <c r="A5" s="12" t="s">
        <v>522</v>
      </c>
      <c r="B5" s="12" t="s">
        <v>528</v>
      </c>
      <c r="C5" s="12" t="s">
        <v>529</v>
      </c>
      <c r="D5" s="12" t="s">
        <v>35</v>
      </c>
      <c r="E5" s="12" t="s">
        <v>526</v>
      </c>
    </row>
    <row r="6" customFormat="false" ht="15" hidden="false" customHeight="false" outlineLevel="0" collapsed="false">
      <c r="A6" s="12" t="s">
        <v>522</v>
      </c>
      <c r="B6" s="12" t="s">
        <v>530</v>
      </c>
      <c r="C6" s="12" t="s">
        <v>153</v>
      </c>
      <c r="D6" s="12" t="s">
        <v>30</v>
      </c>
      <c r="E6" s="12" t="s">
        <v>526</v>
      </c>
    </row>
    <row r="7" customFormat="false" ht="15" hidden="false" customHeight="false" outlineLevel="0" collapsed="false">
      <c r="A7" s="12" t="s">
        <v>522</v>
      </c>
      <c r="B7" s="12" t="s">
        <v>254</v>
      </c>
      <c r="C7" s="12" t="s">
        <v>253</v>
      </c>
      <c r="D7" s="12" t="s">
        <v>39</v>
      </c>
      <c r="E7" s="12" t="s">
        <v>526</v>
      </c>
    </row>
    <row r="8" customFormat="false" ht="15" hidden="false" customHeight="false" outlineLevel="0" collapsed="false">
      <c r="A8" s="12" t="s">
        <v>522</v>
      </c>
      <c r="B8" s="12" t="s">
        <v>531</v>
      </c>
      <c r="C8" s="12" t="s">
        <v>162</v>
      </c>
      <c r="D8" s="12" t="s">
        <v>30</v>
      </c>
      <c r="E8" s="12" t="s">
        <v>526</v>
      </c>
    </row>
    <row r="9" customFormat="false" ht="15" hidden="false" customHeight="false" outlineLevel="0" collapsed="false">
      <c r="A9" s="12" t="s">
        <v>522</v>
      </c>
      <c r="B9" s="12" t="s">
        <v>532</v>
      </c>
      <c r="C9" s="12" t="s">
        <v>125</v>
      </c>
      <c r="D9" s="12" t="s">
        <v>28</v>
      </c>
      <c r="E9" s="12" t="s">
        <v>526</v>
      </c>
    </row>
    <row r="10" customFormat="false" ht="15" hidden="false" customHeight="false" outlineLevel="0" collapsed="false">
      <c r="A10" s="12" t="s">
        <v>522</v>
      </c>
      <c r="B10" s="12" t="s">
        <v>533</v>
      </c>
      <c r="C10" s="12" t="s">
        <v>204</v>
      </c>
      <c r="D10" s="12" t="s">
        <v>33</v>
      </c>
      <c r="E10" s="12" t="s">
        <v>526</v>
      </c>
    </row>
    <row r="11" customFormat="false" ht="15" hidden="false" customHeight="false" outlineLevel="0" collapsed="false">
      <c r="A11" s="12" t="s">
        <v>522</v>
      </c>
      <c r="B11" s="12" t="s">
        <v>534</v>
      </c>
      <c r="C11" s="12" t="s">
        <v>135</v>
      </c>
      <c r="D11" s="12" t="s">
        <v>28</v>
      </c>
      <c r="E11" s="12" t="s">
        <v>526</v>
      </c>
    </row>
    <row r="12" customFormat="false" ht="15" hidden="false" customHeight="false" outlineLevel="0" collapsed="false">
      <c r="A12" s="12" t="s">
        <v>522</v>
      </c>
      <c r="B12" s="12" t="s">
        <v>535</v>
      </c>
      <c r="C12" s="12" t="s">
        <v>536</v>
      </c>
      <c r="D12" s="12" t="s">
        <v>537</v>
      </c>
      <c r="E12" s="12" t="s">
        <v>526</v>
      </c>
    </row>
    <row r="13" customFormat="false" ht="15" hidden="false" customHeight="false" outlineLevel="0" collapsed="false">
      <c r="A13" s="12" t="s">
        <v>522</v>
      </c>
      <c r="B13" s="12" t="s">
        <v>538</v>
      </c>
      <c r="C13" s="12" t="s">
        <v>129</v>
      </c>
      <c r="D13" s="12" t="s">
        <v>28</v>
      </c>
      <c r="E13" s="12" t="s">
        <v>526</v>
      </c>
    </row>
    <row r="14" customFormat="false" ht="15" hidden="false" customHeight="false" outlineLevel="0" collapsed="false">
      <c r="A14" s="12" t="s">
        <v>522</v>
      </c>
      <c r="B14" s="12" t="s">
        <v>539</v>
      </c>
      <c r="C14" s="12" t="s">
        <v>199</v>
      </c>
      <c r="D14" s="12" t="s">
        <v>33</v>
      </c>
      <c r="E14" s="12" t="s">
        <v>526</v>
      </c>
    </row>
    <row r="15" customFormat="false" ht="15" hidden="false" customHeight="false" outlineLevel="0" collapsed="false">
      <c r="A15" s="12" t="s">
        <v>522</v>
      </c>
      <c r="B15" s="12" t="s">
        <v>540</v>
      </c>
      <c r="C15" s="12" t="s">
        <v>541</v>
      </c>
      <c r="D15" s="12" t="s">
        <v>28</v>
      </c>
      <c r="E15" s="12" t="s">
        <v>526</v>
      </c>
    </row>
    <row r="16" customFormat="false" ht="15" hidden="false" customHeight="false" outlineLevel="0" collapsed="false">
      <c r="A16" s="12" t="s">
        <v>522</v>
      </c>
      <c r="B16" s="12" t="s">
        <v>542</v>
      </c>
      <c r="C16" s="12" t="s">
        <v>184</v>
      </c>
      <c r="D16" s="12" t="s">
        <v>30</v>
      </c>
      <c r="E16" s="12" t="s">
        <v>526</v>
      </c>
    </row>
    <row r="17" customFormat="false" ht="15" hidden="false" customHeight="false" outlineLevel="0" collapsed="false">
      <c r="A17" s="12" t="s">
        <v>522</v>
      </c>
      <c r="B17" s="12" t="s">
        <v>543</v>
      </c>
      <c r="C17" s="12" t="s">
        <v>544</v>
      </c>
      <c r="D17" s="12" t="s">
        <v>39</v>
      </c>
      <c r="E17" s="12" t="s">
        <v>526</v>
      </c>
    </row>
    <row r="18" customFormat="false" ht="15" hidden="false" customHeight="false" outlineLevel="0" collapsed="false">
      <c r="A18" s="12" t="s">
        <v>522</v>
      </c>
      <c r="B18" s="12" t="s">
        <v>545</v>
      </c>
      <c r="C18" s="12" t="s">
        <v>546</v>
      </c>
      <c r="D18" s="12" t="s">
        <v>42</v>
      </c>
      <c r="E18" s="12" t="s">
        <v>526</v>
      </c>
    </row>
    <row r="19" customFormat="false" ht="15" hidden="false" customHeight="false" outlineLevel="0" collapsed="false">
      <c r="A19" s="12" t="s">
        <v>547</v>
      </c>
      <c r="B19" s="12" t="s">
        <v>123</v>
      </c>
      <c r="C19" s="12" t="s">
        <v>548</v>
      </c>
      <c r="D19" s="12" t="s">
        <v>24</v>
      </c>
      <c r="E19" s="12" t="s">
        <v>526</v>
      </c>
    </row>
    <row r="20" customFormat="false" ht="15" hidden="false" customHeight="false" outlineLevel="0" collapsed="false">
      <c r="A20" s="12" t="s">
        <v>547</v>
      </c>
      <c r="B20" s="12" t="s">
        <v>288</v>
      </c>
      <c r="C20" s="12" t="s">
        <v>549</v>
      </c>
      <c r="D20" s="12" t="s">
        <v>42</v>
      </c>
      <c r="E20" s="12" t="s">
        <v>526</v>
      </c>
    </row>
    <row r="21" customFormat="false" ht="15" hidden="false" customHeight="false" outlineLevel="0" collapsed="false">
      <c r="A21" s="12" t="s">
        <v>547</v>
      </c>
      <c r="B21" s="12" t="s">
        <v>291</v>
      </c>
      <c r="C21" s="12" t="s">
        <v>550</v>
      </c>
      <c r="D21" s="12" t="s">
        <v>42</v>
      </c>
      <c r="E21" s="12" t="s">
        <v>526</v>
      </c>
    </row>
    <row r="22" customFormat="false" ht="15" hidden="false" customHeight="false" outlineLevel="0" collapsed="false">
      <c r="A22" s="12" t="s">
        <v>547</v>
      </c>
      <c r="B22" s="12" t="s">
        <v>551</v>
      </c>
      <c r="C22" s="12" t="s">
        <v>552</v>
      </c>
      <c r="D22" s="12" t="s">
        <v>35</v>
      </c>
      <c r="E22" s="12" t="s">
        <v>526</v>
      </c>
    </row>
    <row r="23" customFormat="false" ht="15" hidden="false" customHeight="false" outlineLevel="0" collapsed="false">
      <c r="A23" s="12" t="s">
        <v>547</v>
      </c>
      <c r="B23" s="12" t="s">
        <v>553</v>
      </c>
      <c r="C23" s="12" t="s">
        <v>554</v>
      </c>
      <c r="D23" s="12" t="s">
        <v>30</v>
      </c>
      <c r="E23" s="12" t="s">
        <v>526</v>
      </c>
    </row>
    <row r="24" customFormat="false" ht="15" hidden="false" customHeight="false" outlineLevel="0" collapsed="false">
      <c r="A24" s="12" t="s">
        <v>547</v>
      </c>
      <c r="B24" s="12" t="s">
        <v>555</v>
      </c>
      <c r="C24" s="12" t="s">
        <v>294</v>
      </c>
      <c r="D24" s="12" t="s">
        <v>42</v>
      </c>
      <c r="E24" s="12" t="s">
        <v>526</v>
      </c>
    </row>
    <row r="25" customFormat="false" ht="15" hidden="false" customHeight="false" outlineLevel="0" collapsed="false">
      <c r="A25" s="12" t="s">
        <v>547</v>
      </c>
      <c r="B25" s="12" t="s">
        <v>556</v>
      </c>
      <c r="C25" s="12" t="s">
        <v>557</v>
      </c>
      <c r="D25" s="12" t="s">
        <v>24</v>
      </c>
      <c r="E25" s="12" t="s">
        <v>526</v>
      </c>
    </row>
    <row r="26" customFormat="false" ht="15" hidden="false" customHeight="false" outlineLevel="0" collapsed="false">
      <c r="A26" s="12" t="s">
        <v>547</v>
      </c>
      <c r="B26" s="12" t="s">
        <v>558</v>
      </c>
      <c r="C26" s="12" t="s">
        <v>559</v>
      </c>
      <c r="D26" s="12" t="s">
        <v>30</v>
      </c>
      <c r="E26" s="12" t="s">
        <v>526</v>
      </c>
    </row>
    <row r="27" customFormat="false" ht="15" hidden="false" customHeight="false" outlineLevel="0" collapsed="false">
      <c r="A27" s="12" t="s">
        <v>547</v>
      </c>
      <c r="B27" s="12" t="s">
        <v>118</v>
      </c>
      <c r="C27" s="12" t="s">
        <v>504</v>
      </c>
      <c r="D27" s="12" t="s">
        <v>24</v>
      </c>
      <c r="E27" s="12" t="s">
        <v>526</v>
      </c>
    </row>
    <row r="28" customFormat="false" ht="15" hidden="false" customHeight="false" outlineLevel="0" collapsed="false">
      <c r="A28" s="12" t="s">
        <v>547</v>
      </c>
      <c r="B28" s="12" t="s">
        <v>560</v>
      </c>
      <c r="C28" s="12" t="s">
        <v>561</v>
      </c>
      <c r="D28" s="12" t="s">
        <v>562</v>
      </c>
      <c r="E28" s="12" t="s">
        <v>526</v>
      </c>
    </row>
    <row r="29" customFormat="false" ht="15" hidden="false" customHeight="false" outlineLevel="0" collapsed="false">
      <c r="A29" s="12" t="s">
        <v>547</v>
      </c>
      <c r="B29" s="12" t="s">
        <v>182</v>
      </c>
      <c r="C29" s="12" t="s">
        <v>181</v>
      </c>
      <c r="D29" s="12" t="s">
        <v>30</v>
      </c>
      <c r="E29" s="12" t="s">
        <v>526</v>
      </c>
    </row>
    <row r="30" customFormat="false" ht="15" hidden="false" customHeight="false" outlineLevel="0" collapsed="false">
      <c r="A30" s="12" t="s">
        <v>547</v>
      </c>
      <c r="B30" s="12" t="s">
        <v>563</v>
      </c>
      <c r="C30" s="12" t="s">
        <v>564</v>
      </c>
      <c r="D30" s="12" t="s">
        <v>30</v>
      </c>
      <c r="E30" s="12" t="s">
        <v>526</v>
      </c>
    </row>
    <row r="31" customFormat="false" ht="15" hidden="false" customHeight="false" outlineLevel="0" collapsed="false">
      <c r="A31" s="12" t="s">
        <v>565</v>
      </c>
      <c r="B31" s="12" t="s">
        <v>566</v>
      </c>
      <c r="C31" s="12" t="s">
        <v>567</v>
      </c>
      <c r="D31" s="12" t="s">
        <v>30</v>
      </c>
      <c r="E31" s="12" t="s">
        <v>526</v>
      </c>
    </row>
    <row r="32" customFormat="false" ht="15" hidden="false" customHeight="false" outlineLevel="0" collapsed="false">
      <c r="A32" s="12" t="s">
        <v>565</v>
      </c>
      <c r="B32" s="12" t="s">
        <v>568</v>
      </c>
      <c r="C32" s="12" t="s">
        <v>569</v>
      </c>
      <c r="D32" s="12" t="s">
        <v>45</v>
      </c>
      <c r="E32" s="12" t="s">
        <v>570</v>
      </c>
    </row>
    <row r="33" customFormat="false" ht="15" hidden="false" customHeight="false" outlineLevel="0" collapsed="false">
      <c r="A33" s="12" t="s">
        <v>565</v>
      </c>
      <c r="B33" s="12" t="s">
        <v>571</v>
      </c>
      <c r="C33" s="12" t="s">
        <v>567</v>
      </c>
      <c r="D33" s="12" t="s">
        <v>30</v>
      </c>
      <c r="E33" s="12" t="s">
        <v>526</v>
      </c>
    </row>
    <row r="34" customFormat="false" ht="15" hidden="false" customHeight="false" outlineLevel="0" collapsed="false">
      <c r="A34" s="12" t="s">
        <v>565</v>
      </c>
      <c r="B34" s="12" t="s">
        <v>572</v>
      </c>
      <c r="C34" s="12" t="s">
        <v>567</v>
      </c>
      <c r="D34" s="12" t="s">
        <v>30</v>
      </c>
      <c r="E34" s="12" t="s">
        <v>526</v>
      </c>
    </row>
    <row r="35" customFormat="false" ht="15" hidden="false" customHeight="false" outlineLevel="0" collapsed="false">
      <c r="A35" s="12" t="s">
        <v>565</v>
      </c>
      <c r="B35" s="12" t="s">
        <v>573</v>
      </c>
      <c r="C35" s="12" t="s">
        <v>574</v>
      </c>
      <c r="D35" s="12" t="s">
        <v>45</v>
      </c>
      <c r="E35" s="12" t="s">
        <v>570</v>
      </c>
    </row>
    <row r="36" customFormat="false" ht="15" hidden="false" customHeight="false" outlineLevel="0" collapsed="false">
      <c r="A36" s="12" t="s">
        <v>575</v>
      </c>
      <c r="B36" s="12" t="s">
        <v>576</v>
      </c>
      <c r="C36" s="12" t="s">
        <v>215</v>
      </c>
      <c r="D36" s="12" t="s">
        <v>33</v>
      </c>
      <c r="E36" s="12" t="s">
        <v>526</v>
      </c>
    </row>
    <row r="37" customFormat="false" ht="15" hidden="false" customHeight="false" outlineLevel="0" collapsed="false">
      <c r="A37" s="12" t="s">
        <v>575</v>
      </c>
      <c r="B37" s="12" t="s">
        <v>577</v>
      </c>
      <c r="C37" s="12" t="s">
        <v>578</v>
      </c>
      <c r="D37" s="12" t="s">
        <v>33</v>
      </c>
      <c r="E37" s="12" t="s">
        <v>526</v>
      </c>
    </row>
    <row r="38" customFormat="false" ht="15" hidden="false" customHeight="false" outlineLevel="0" collapsed="false">
      <c r="A38" s="12" t="s">
        <v>575</v>
      </c>
      <c r="B38" s="12" t="s">
        <v>579</v>
      </c>
      <c r="C38" s="12" t="s">
        <v>580</v>
      </c>
      <c r="D38" s="12" t="s">
        <v>28</v>
      </c>
      <c r="E38" s="12" t="s">
        <v>526</v>
      </c>
    </row>
    <row r="39" customFormat="false" ht="15" hidden="false" customHeight="false" outlineLevel="0" collapsed="false">
      <c r="A39" s="12" t="s">
        <v>575</v>
      </c>
      <c r="B39" s="12" t="s">
        <v>581</v>
      </c>
      <c r="C39" s="12" t="s">
        <v>298</v>
      </c>
      <c r="D39" s="12" t="s">
        <v>42</v>
      </c>
      <c r="E39" s="12" t="s">
        <v>526</v>
      </c>
    </row>
    <row r="40" customFormat="false" ht="15" hidden="false" customHeight="false" outlineLevel="0" collapsed="false">
      <c r="A40" s="12" t="s">
        <v>575</v>
      </c>
      <c r="B40" s="12" t="s">
        <v>582</v>
      </c>
      <c r="C40" s="12" t="s">
        <v>583</v>
      </c>
      <c r="D40" s="12" t="s">
        <v>584</v>
      </c>
      <c r="E40" s="12" t="s">
        <v>526</v>
      </c>
    </row>
    <row r="41" customFormat="false" ht="15" hidden="false" customHeight="false" outlineLevel="0" collapsed="false">
      <c r="A41" s="12" t="s">
        <v>575</v>
      </c>
      <c r="B41" s="12" t="s">
        <v>585</v>
      </c>
      <c r="C41" s="12" t="s">
        <v>586</v>
      </c>
      <c r="D41" s="12" t="s">
        <v>537</v>
      </c>
      <c r="E41" s="12" t="s">
        <v>526</v>
      </c>
    </row>
    <row r="42" customFormat="false" ht="23.85" hidden="false" customHeight="false" outlineLevel="0" collapsed="false">
      <c r="A42" s="12" t="s">
        <v>575</v>
      </c>
      <c r="B42" s="12" t="s">
        <v>587</v>
      </c>
      <c r="C42" s="12" t="s">
        <v>588</v>
      </c>
      <c r="D42" s="12" t="s">
        <v>47</v>
      </c>
      <c r="E42" s="12" t="s">
        <v>589</v>
      </c>
    </row>
    <row r="43" customFormat="false" ht="15" hidden="false" customHeight="false" outlineLevel="0" collapsed="false">
      <c r="A43" s="12" t="s">
        <v>575</v>
      </c>
      <c r="B43" s="12" t="s">
        <v>590</v>
      </c>
      <c r="C43" s="12" t="s">
        <v>591</v>
      </c>
      <c r="D43" s="12" t="s">
        <v>42</v>
      </c>
      <c r="E43" s="12" t="s">
        <v>526</v>
      </c>
    </row>
    <row r="44" customFormat="false" ht="15" hidden="false" customHeight="false" outlineLevel="0" collapsed="false">
      <c r="A44" s="12" t="s">
        <v>592</v>
      </c>
      <c r="B44" s="12" t="s">
        <v>566</v>
      </c>
      <c r="C44" s="12" t="s">
        <v>593</v>
      </c>
      <c r="D44" s="12" t="s">
        <v>537</v>
      </c>
      <c r="E44" s="12" t="s">
        <v>526</v>
      </c>
    </row>
    <row r="45" customFormat="false" ht="15" hidden="false" customHeight="false" outlineLevel="0" collapsed="false">
      <c r="A45" s="12" t="s">
        <v>592</v>
      </c>
      <c r="B45" s="12" t="s">
        <v>571</v>
      </c>
      <c r="C45" s="12" t="s">
        <v>209</v>
      </c>
      <c r="D45" s="12" t="s">
        <v>33</v>
      </c>
      <c r="E45" s="12" t="s">
        <v>526</v>
      </c>
    </row>
    <row r="46" customFormat="false" ht="15" hidden="false" customHeight="false" outlineLevel="0" collapsed="false">
      <c r="A46" s="12" t="s">
        <v>592</v>
      </c>
      <c r="B46" s="12" t="s">
        <v>594</v>
      </c>
      <c r="C46" s="12" t="s">
        <v>595</v>
      </c>
      <c r="D46" s="12" t="s">
        <v>33</v>
      </c>
      <c r="E46" s="12" t="s">
        <v>526</v>
      </c>
    </row>
    <row r="47" customFormat="false" ht="15" hidden="false" customHeight="false" outlineLevel="0" collapsed="false">
      <c r="A47" s="12" t="s">
        <v>592</v>
      </c>
      <c r="B47" s="12" t="s">
        <v>596</v>
      </c>
      <c r="C47" s="12" t="s">
        <v>597</v>
      </c>
      <c r="D47" s="12" t="s">
        <v>33</v>
      </c>
      <c r="E47" s="12" t="s">
        <v>526</v>
      </c>
    </row>
    <row r="48" customFormat="false" ht="15" hidden="false" customHeight="false" outlineLevel="0" collapsed="false">
      <c r="A48" s="12" t="s">
        <v>592</v>
      </c>
      <c r="B48" s="12" t="s">
        <v>598</v>
      </c>
      <c r="C48" s="12" t="s">
        <v>599</v>
      </c>
      <c r="D48" s="12" t="s">
        <v>28</v>
      </c>
      <c r="E48" s="12" t="s">
        <v>526</v>
      </c>
    </row>
    <row r="49" customFormat="false" ht="15" hidden="false" customHeight="false" outlineLevel="0" collapsed="false">
      <c r="A49" s="12" t="s">
        <v>592</v>
      </c>
      <c r="B49" s="12" t="s">
        <v>600</v>
      </c>
      <c r="C49" s="12" t="s">
        <v>601</v>
      </c>
      <c r="D49" s="12" t="s">
        <v>28</v>
      </c>
      <c r="E49" s="12" t="s">
        <v>526</v>
      </c>
    </row>
    <row r="50" customFormat="false" ht="15" hidden="false" customHeight="false" outlineLevel="0" collapsed="false">
      <c r="A50" s="12" t="s">
        <v>592</v>
      </c>
      <c r="B50" s="12" t="s">
        <v>602</v>
      </c>
      <c r="C50" s="12" t="s">
        <v>218</v>
      </c>
      <c r="D50" s="12" t="s">
        <v>33</v>
      </c>
      <c r="E50" s="12" t="s">
        <v>526</v>
      </c>
    </row>
    <row r="51" customFormat="false" ht="15" hidden="false" customHeight="false" outlineLevel="0" collapsed="false">
      <c r="A51" s="12" t="s">
        <v>592</v>
      </c>
      <c r="B51" s="12" t="s">
        <v>603</v>
      </c>
      <c r="C51" s="12" t="s">
        <v>221</v>
      </c>
      <c r="D51" s="12" t="s">
        <v>33</v>
      </c>
      <c r="E51" s="12" t="s">
        <v>526</v>
      </c>
    </row>
    <row r="52" customFormat="false" ht="15" hidden="false" customHeight="false" outlineLevel="0" collapsed="false">
      <c r="A52" s="12" t="s">
        <v>604</v>
      </c>
      <c r="B52" s="12" t="s">
        <v>605</v>
      </c>
      <c r="C52" s="12" t="s">
        <v>606</v>
      </c>
      <c r="D52" s="12" t="s">
        <v>607</v>
      </c>
      <c r="E52" s="12" t="s">
        <v>608</v>
      </c>
    </row>
    <row r="53" customFormat="false" ht="15" hidden="false" customHeight="false" outlineLevel="0" collapsed="false">
      <c r="A53" s="12" t="s">
        <v>604</v>
      </c>
      <c r="B53" s="12" t="s">
        <v>609</v>
      </c>
      <c r="C53" s="12" t="s">
        <v>610</v>
      </c>
      <c r="D53" s="12" t="s">
        <v>42</v>
      </c>
      <c r="E53" s="12" t="s">
        <v>608</v>
      </c>
    </row>
    <row r="54" customFormat="false" ht="15" hidden="false" customHeight="false" outlineLevel="0" collapsed="false">
      <c r="A54" s="12" t="s">
        <v>604</v>
      </c>
      <c r="B54" s="12" t="s">
        <v>611</v>
      </c>
      <c r="C54" s="12" t="s">
        <v>612</v>
      </c>
      <c r="D54" s="12" t="s">
        <v>39</v>
      </c>
      <c r="E54" s="12" t="s">
        <v>608</v>
      </c>
    </row>
    <row r="55" customFormat="false" ht="15" hidden="false" customHeight="false" outlineLevel="0" collapsed="false">
      <c r="A55" s="12" t="s">
        <v>604</v>
      </c>
      <c r="B55" s="12" t="s">
        <v>613</v>
      </c>
      <c r="C55" s="12" t="s">
        <v>614</v>
      </c>
      <c r="D55" s="12" t="s">
        <v>39</v>
      </c>
      <c r="E55" s="12" t="s">
        <v>608</v>
      </c>
    </row>
    <row r="56" customFormat="false" ht="15" hidden="false" customHeight="false" outlineLevel="0" collapsed="false">
      <c r="A56" s="12" t="s">
        <v>604</v>
      </c>
      <c r="B56" s="12" t="s">
        <v>615</v>
      </c>
      <c r="C56" s="12" t="s">
        <v>616</v>
      </c>
      <c r="D56" s="12" t="s">
        <v>28</v>
      </c>
      <c r="E56" s="12" t="s">
        <v>608</v>
      </c>
    </row>
    <row r="57" customFormat="false" ht="15" hidden="false" customHeight="false" outlineLevel="0" collapsed="false">
      <c r="A57" s="12" t="s">
        <v>604</v>
      </c>
      <c r="B57" s="12" t="s">
        <v>617</v>
      </c>
      <c r="C57" s="12" t="s">
        <v>618</v>
      </c>
      <c r="D57" s="12" t="s">
        <v>619</v>
      </c>
      <c r="E57" s="12" t="s">
        <v>608</v>
      </c>
    </row>
    <row r="58" customFormat="false" ht="15" hidden="false" customHeight="false" outlineLevel="0" collapsed="false">
      <c r="A58" s="12" t="s">
        <v>604</v>
      </c>
      <c r="B58" s="12" t="s">
        <v>620</v>
      </c>
      <c r="C58" s="12" t="s">
        <v>621</v>
      </c>
      <c r="D58" s="12" t="s">
        <v>607</v>
      </c>
      <c r="E58" s="12" t="s">
        <v>608</v>
      </c>
    </row>
    <row r="59" customFormat="false" ht="15" hidden="false" customHeight="false" outlineLevel="0" collapsed="false">
      <c r="A59" s="12" t="s">
        <v>604</v>
      </c>
      <c r="B59" s="12" t="s">
        <v>622</v>
      </c>
      <c r="C59" s="12" t="s">
        <v>623</v>
      </c>
      <c r="D59" s="12" t="s">
        <v>42</v>
      </c>
      <c r="E59" s="12" t="s">
        <v>608</v>
      </c>
    </row>
    <row r="60" customFormat="false" ht="15" hidden="false" customHeight="false" outlineLevel="0" collapsed="false">
      <c r="A60" s="12" t="s">
        <v>604</v>
      </c>
      <c r="B60" s="12" t="s">
        <v>624</v>
      </c>
      <c r="C60" s="12" t="s">
        <v>625</v>
      </c>
      <c r="D60" s="12" t="s">
        <v>39</v>
      </c>
      <c r="E60" s="12" t="s">
        <v>608</v>
      </c>
    </row>
    <row r="61" customFormat="false" ht="15" hidden="false" customHeight="false" outlineLevel="0" collapsed="false">
      <c r="A61" s="12" t="s">
        <v>626</v>
      </c>
      <c r="B61" s="12" t="s">
        <v>627</v>
      </c>
      <c r="C61" s="12" t="s">
        <v>628</v>
      </c>
      <c r="D61" s="12" t="s">
        <v>39</v>
      </c>
      <c r="E61" s="12" t="s">
        <v>526</v>
      </c>
    </row>
    <row r="62" customFormat="false" ht="15" hidden="false" customHeight="false" outlineLevel="0" collapsed="false">
      <c r="A62" s="12" t="s">
        <v>626</v>
      </c>
      <c r="B62" s="12" t="s">
        <v>629</v>
      </c>
      <c r="C62" s="12" t="s">
        <v>630</v>
      </c>
      <c r="D62" s="12" t="s">
        <v>39</v>
      </c>
      <c r="E62" s="12" t="s">
        <v>526</v>
      </c>
    </row>
    <row r="63" customFormat="false" ht="15" hidden="false" customHeight="false" outlineLevel="0" collapsed="false">
      <c r="A63" s="12" t="s">
        <v>626</v>
      </c>
      <c r="B63" s="12" t="s">
        <v>631</v>
      </c>
      <c r="C63" s="12" t="s">
        <v>632</v>
      </c>
      <c r="D63" s="12" t="s">
        <v>39</v>
      </c>
      <c r="E63" s="12" t="s">
        <v>526</v>
      </c>
    </row>
    <row r="64" customFormat="false" ht="15" hidden="false" customHeight="false" outlineLevel="0" collapsed="false">
      <c r="A64" s="12" t="s">
        <v>626</v>
      </c>
      <c r="B64" s="12" t="s">
        <v>633</v>
      </c>
      <c r="C64" s="12" t="s">
        <v>634</v>
      </c>
      <c r="D64" s="12" t="s">
        <v>39</v>
      </c>
      <c r="E64" s="12" t="s">
        <v>526</v>
      </c>
    </row>
    <row r="65" customFormat="false" ht="15" hidden="false" customHeight="false" outlineLevel="0" collapsed="false">
      <c r="A65" s="12" t="s">
        <v>626</v>
      </c>
      <c r="B65" s="12" t="s">
        <v>635</v>
      </c>
      <c r="C65" s="12" t="s">
        <v>636</v>
      </c>
      <c r="D65" s="12" t="s">
        <v>42</v>
      </c>
      <c r="E65" s="12" t="s">
        <v>526</v>
      </c>
    </row>
    <row r="66" customFormat="false" ht="15" hidden="false" customHeight="false" outlineLevel="0" collapsed="false">
      <c r="A66" s="12" t="s">
        <v>626</v>
      </c>
      <c r="B66" s="12" t="s">
        <v>637</v>
      </c>
      <c r="C66" s="12" t="s">
        <v>636</v>
      </c>
      <c r="D66" s="12" t="s">
        <v>42</v>
      </c>
      <c r="E66" s="12" t="s">
        <v>526</v>
      </c>
    </row>
    <row r="67" customFormat="false" ht="15" hidden="false" customHeight="false" outlineLevel="0" collapsed="false">
      <c r="A67" s="12" t="s">
        <v>638</v>
      </c>
      <c r="B67" s="12" t="s">
        <v>334</v>
      </c>
      <c r="C67" s="12" t="s">
        <v>639</v>
      </c>
      <c r="D67" s="12" t="s">
        <v>640</v>
      </c>
      <c r="E67" s="12" t="s">
        <v>526</v>
      </c>
    </row>
    <row r="68" customFormat="false" ht="15" hidden="false" customHeight="false" outlineLevel="0" collapsed="false">
      <c r="A68" s="12" t="s">
        <v>638</v>
      </c>
      <c r="B68" s="12" t="s">
        <v>641</v>
      </c>
      <c r="C68" s="12" t="s">
        <v>642</v>
      </c>
      <c r="D68" s="12" t="s">
        <v>643</v>
      </c>
      <c r="E68" s="12" t="s">
        <v>526</v>
      </c>
    </row>
    <row r="69" customFormat="false" ht="15" hidden="false" customHeight="false" outlineLevel="0" collapsed="false">
      <c r="A69" s="12" t="s">
        <v>638</v>
      </c>
      <c r="B69" s="12" t="s">
        <v>644</v>
      </c>
      <c r="C69" s="12" t="s">
        <v>316</v>
      </c>
      <c r="D69" s="12" t="s">
        <v>42</v>
      </c>
      <c r="E69" s="12" t="s">
        <v>526</v>
      </c>
    </row>
    <row r="70" customFormat="false" ht="15" hidden="false" customHeight="false" outlineLevel="0" collapsed="false">
      <c r="A70" s="12" t="s">
        <v>638</v>
      </c>
      <c r="B70" s="12" t="s">
        <v>336</v>
      </c>
      <c r="C70" s="12" t="s">
        <v>645</v>
      </c>
      <c r="D70" s="12" t="s">
        <v>45</v>
      </c>
      <c r="E70" s="12" t="s">
        <v>570</v>
      </c>
    </row>
    <row r="71" customFormat="false" ht="15" hidden="false" customHeight="false" outlineLevel="0" collapsed="false">
      <c r="A71" s="12" t="s">
        <v>638</v>
      </c>
      <c r="B71" s="12" t="s">
        <v>646</v>
      </c>
      <c r="C71" s="12" t="s">
        <v>645</v>
      </c>
      <c r="D71" s="12" t="s">
        <v>45</v>
      </c>
      <c r="E71" s="12" t="s">
        <v>570</v>
      </c>
    </row>
    <row r="72" customFormat="false" ht="15" hidden="false" customHeight="false" outlineLevel="0" collapsed="false">
      <c r="A72" s="12" t="s">
        <v>638</v>
      </c>
      <c r="B72" s="12" t="s">
        <v>647</v>
      </c>
      <c r="C72" s="12" t="s">
        <v>648</v>
      </c>
      <c r="D72" s="12" t="s">
        <v>45</v>
      </c>
      <c r="E72" s="12" t="s">
        <v>570</v>
      </c>
    </row>
    <row r="73" customFormat="false" ht="15" hidden="false" customHeight="false" outlineLevel="0" collapsed="false">
      <c r="A73" s="12" t="s">
        <v>638</v>
      </c>
      <c r="B73" s="12" t="s">
        <v>649</v>
      </c>
      <c r="C73" s="12" t="s">
        <v>645</v>
      </c>
      <c r="D73" s="12" t="s">
        <v>45</v>
      </c>
      <c r="E73" s="12" t="s">
        <v>570</v>
      </c>
    </row>
    <row r="74" customFormat="false" ht="15" hidden="false" customHeight="false" outlineLevel="0" collapsed="false">
      <c r="A74" s="12" t="s">
        <v>638</v>
      </c>
      <c r="B74" s="12" t="s">
        <v>650</v>
      </c>
      <c r="C74" s="12" t="s">
        <v>645</v>
      </c>
      <c r="D74" s="12" t="s">
        <v>45</v>
      </c>
      <c r="E74" s="12" t="s">
        <v>570</v>
      </c>
    </row>
    <row r="75" customFormat="false" ht="15" hidden="false" customHeight="false" outlineLevel="0" collapsed="false">
      <c r="A75" s="12" t="s">
        <v>651</v>
      </c>
      <c r="B75" s="12" t="s">
        <v>652</v>
      </c>
      <c r="C75" s="12" t="s">
        <v>653</v>
      </c>
      <c r="D75" s="12" t="s">
        <v>39</v>
      </c>
      <c r="E75" s="12" t="s">
        <v>526</v>
      </c>
    </row>
    <row r="76" customFormat="false" ht="15" hidden="false" customHeight="false" outlineLevel="0" collapsed="false">
      <c r="A76" s="12" t="s">
        <v>651</v>
      </c>
      <c r="B76" s="12" t="s">
        <v>654</v>
      </c>
      <c r="C76" s="12" t="s">
        <v>655</v>
      </c>
      <c r="D76" s="12" t="s">
        <v>24</v>
      </c>
      <c r="E76" s="12" t="s">
        <v>526</v>
      </c>
    </row>
    <row r="77" customFormat="false" ht="15" hidden="false" customHeight="false" outlineLevel="0" collapsed="false">
      <c r="A77" s="12" t="s">
        <v>651</v>
      </c>
      <c r="B77" s="12" t="s">
        <v>571</v>
      </c>
      <c r="C77" s="12" t="s">
        <v>656</v>
      </c>
      <c r="D77" s="12" t="s">
        <v>35</v>
      </c>
      <c r="E77" s="12" t="s">
        <v>526</v>
      </c>
    </row>
    <row r="78" customFormat="false" ht="15" hidden="false" customHeight="false" outlineLevel="0" collapsed="false">
      <c r="A78" s="12" t="s">
        <v>651</v>
      </c>
      <c r="B78" s="12" t="s">
        <v>657</v>
      </c>
      <c r="C78" s="12" t="s">
        <v>658</v>
      </c>
      <c r="D78" s="12" t="s">
        <v>39</v>
      </c>
      <c r="E78" s="12" t="s">
        <v>526</v>
      </c>
    </row>
    <row r="79" customFormat="false" ht="15" hidden="false" customHeight="false" outlineLevel="0" collapsed="false">
      <c r="A79" s="12" t="s">
        <v>651</v>
      </c>
      <c r="B79" s="12" t="s">
        <v>659</v>
      </c>
      <c r="C79" s="12" t="s">
        <v>660</v>
      </c>
      <c r="D79" s="12" t="s">
        <v>30</v>
      </c>
      <c r="E79" s="12" t="s">
        <v>526</v>
      </c>
    </row>
    <row r="80" customFormat="false" ht="15" hidden="false" customHeight="false" outlineLevel="0" collapsed="false">
      <c r="A80" s="12" t="s">
        <v>651</v>
      </c>
      <c r="B80" s="12" t="s">
        <v>661</v>
      </c>
      <c r="C80" s="12" t="s">
        <v>662</v>
      </c>
      <c r="D80" s="12" t="s">
        <v>39</v>
      </c>
      <c r="E80" s="12" t="s">
        <v>526</v>
      </c>
    </row>
    <row r="81" customFormat="false" ht="15" hidden="false" customHeight="false" outlineLevel="0" collapsed="false">
      <c r="A81" s="12" t="s">
        <v>651</v>
      </c>
      <c r="B81" s="12" t="s">
        <v>663</v>
      </c>
      <c r="C81" s="12" t="s">
        <v>165</v>
      </c>
      <c r="D81" s="12" t="s">
        <v>30</v>
      </c>
      <c r="E81" s="12" t="s">
        <v>526</v>
      </c>
    </row>
    <row r="82" customFormat="false" ht="15" hidden="false" customHeight="false" outlineLevel="0" collapsed="false">
      <c r="A82" s="12" t="s">
        <v>651</v>
      </c>
      <c r="B82" s="12" t="s">
        <v>664</v>
      </c>
      <c r="C82" s="12" t="s">
        <v>665</v>
      </c>
      <c r="D82" s="12" t="s">
        <v>39</v>
      </c>
      <c r="E82" s="12" t="s">
        <v>526</v>
      </c>
    </row>
    <row r="83" customFormat="false" ht="15" hidden="false" customHeight="false" outlineLevel="0" collapsed="false">
      <c r="A83" s="12" t="s">
        <v>651</v>
      </c>
      <c r="B83" s="12" t="s">
        <v>666</v>
      </c>
      <c r="C83" s="12" t="s">
        <v>667</v>
      </c>
      <c r="D83" s="12" t="s">
        <v>39</v>
      </c>
      <c r="E83" s="12" t="s">
        <v>526</v>
      </c>
    </row>
    <row r="84" customFormat="false" ht="15" hidden="false" customHeight="false" outlineLevel="0" collapsed="false">
      <c r="A84" s="12" t="s">
        <v>651</v>
      </c>
      <c r="B84" s="12" t="s">
        <v>668</v>
      </c>
      <c r="C84" s="12" t="s">
        <v>669</v>
      </c>
      <c r="D84" s="12" t="s">
        <v>39</v>
      </c>
      <c r="E84" s="12" t="s">
        <v>526</v>
      </c>
    </row>
    <row r="85" customFormat="false" ht="15" hidden="false" customHeight="false" outlineLevel="0" collapsed="false">
      <c r="A85" s="12" t="s">
        <v>651</v>
      </c>
      <c r="B85" s="12" t="s">
        <v>670</v>
      </c>
      <c r="C85" s="12" t="s">
        <v>671</v>
      </c>
      <c r="D85" s="12" t="s">
        <v>39</v>
      </c>
      <c r="E85" s="12" t="s">
        <v>526</v>
      </c>
    </row>
    <row r="86" customFormat="false" ht="15" hidden="false" customHeight="false" outlineLevel="0" collapsed="false">
      <c r="A86" s="12" t="s">
        <v>672</v>
      </c>
      <c r="B86" s="12" t="s">
        <v>673</v>
      </c>
      <c r="C86" s="12" t="s">
        <v>231</v>
      </c>
      <c r="D86" s="12" t="s">
        <v>35</v>
      </c>
      <c r="E86" s="12" t="s">
        <v>526</v>
      </c>
    </row>
    <row r="87" customFormat="false" ht="15" hidden="false" customHeight="false" outlineLevel="0" collapsed="false">
      <c r="A87" s="12" t="s">
        <v>672</v>
      </c>
      <c r="B87" s="12" t="s">
        <v>674</v>
      </c>
      <c r="C87" s="12" t="s">
        <v>486</v>
      </c>
      <c r="D87" s="12" t="s">
        <v>35</v>
      </c>
      <c r="E87" s="12" t="s">
        <v>526</v>
      </c>
    </row>
    <row r="88" customFormat="false" ht="15" hidden="false" customHeight="false" outlineLevel="0" collapsed="false">
      <c r="A88" s="12" t="s">
        <v>672</v>
      </c>
      <c r="B88" s="12" t="s">
        <v>675</v>
      </c>
      <c r="C88" s="12" t="s">
        <v>99</v>
      </c>
      <c r="D88" s="12" t="s">
        <v>24</v>
      </c>
      <c r="E88" s="12" t="s">
        <v>526</v>
      </c>
    </row>
    <row r="89" customFormat="false" ht="15" hidden="false" customHeight="false" outlineLevel="0" collapsed="false">
      <c r="A89" s="12" t="s">
        <v>672</v>
      </c>
      <c r="B89" s="12" t="s">
        <v>676</v>
      </c>
      <c r="C89" s="12" t="s">
        <v>677</v>
      </c>
      <c r="D89" s="12" t="s">
        <v>35</v>
      </c>
      <c r="E89" s="12" t="s">
        <v>526</v>
      </c>
    </row>
    <row r="90" customFormat="false" ht="15" hidden="false" customHeight="false" outlineLevel="0" collapsed="false">
      <c r="A90" s="12" t="s">
        <v>672</v>
      </c>
      <c r="B90" s="12" t="s">
        <v>678</v>
      </c>
      <c r="C90" s="12" t="s">
        <v>679</v>
      </c>
      <c r="D90" s="12" t="s">
        <v>45</v>
      </c>
      <c r="E90" s="12" t="s">
        <v>570</v>
      </c>
    </row>
    <row r="91" customFormat="false" ht="15" hidden="false" customHeight="false" outlineLevel="0" collapsed="false">
      <c r="A91" s="12" t="s">
        <v>672</v>
      </c>
      <c r="B91" s="12" t="s">
        <v>680</v>
      </c>
      <c r="C91" s="12" t="s">
        <v>679</v>
      </c>
      <c r="D91" s="12" t="s">
        <v>45</v>
      </c>
      <c r="E91" s="12" t="s">
        <v>570</v>
      </c>
    </row>
    <row r="92" customFormat="false" ht="15" hidden="false" customHeight="false" outlineLevel="0" collapsed="false">
      <c r="A92" s="12" t="s">
        <v>681</v>
      </c>
      <c r="B92" s="12" t="s">
        <v>682</v>
      </c>
      <c r="C92" s="12" t="s">
        <v>239</v>
      </c>
      <c r="D92" s="12" t="s">
        <v>35</v>
      </c>
      <c r="E92" s="12" t="s">
        <v>526</v>
      </c>
    </row>
    <row r="93" customFormat="false" ht="15" hidden="false" customHeight="false" outlineLevel="0" collapsed="false">
      <c r="A93" s="12" t="s">
        <v>681</v>
      </c>
      <c r="B93" s="12" t="s">
        <v>683</v>
      </c>
      <c r="C93" s="12" t="s">
        <v>104</v>
      </c>
      <c r="D93" s="12" t="s">
        <v>24</v>
      </c>
      <c r="E93" s="12" t="s">
        <v>526</v>
      </c>
    </row>
    <row r="94" customFormat="false" ht="15" hidden="false" customHeight="false" outlineLevel="0" collapsed="false">
      <c r="A94" s="12" t="s">
        <v>681</v>
      </c>
      <c r="B94" s="12" t="s">
        <v>466</v>
      </c>
      <c r="C94" s="12" t="s">
        <v>108</v>
      </c>
      <c r="D94" s="12" t="s">
        <v>24</v>
      </c>
      <c r="E94" s="12" t="s">
        <v>526</v>
      </c>
    </row>
    <row r="95" customFormat="false" ht="15" hidden="false" customHeight="false" outlineLevel="0" collapsed="false">
      <c r="A95" s="12" t="s">
        <v>681</v>
      </c>
      <c r="B95" s="12" t="s">
        <v>684</v>
      </c>
      <c r="C95" s="12" t="s">
        <v>685</v>
      </c>
      <c r="D95" s="12" t="s">
        <v>35</v>
      </c>
      <c r="E95" s="12" t="s">
        <v>526</v>
      </c>
    </row>
    <row r="96" customFormat="false" ht="15" hidden="false" customHeight="false" outlineLevel="0" collapsed="false">
      <c r="A96" s="12" t="s">
        <v>681</v>
      </c>
      <c r="B96" s="12" t="s">
        <v>686</v>
      </c>
      <c r="C96" s="12" t="s">
        <v>687</v>
      </c>
      <c r="D96" s="12" t="s">
        <v>35</v>
      </c>
      <c r="E96" s="12" t="s">
        <v>526</v>
      </c>
    </row>
    <row r="97" customFormat="false" ht="15" hidden="false" customHeight="false" outlineLevel="0" collapsed="false">
      <c r="A97" s="12" t="s">
        <v>688</v>
      </c>
      <c r="B97" s="12" t="s">
        <v>689</v>
      </c>
      <c r="C97" s="12" t="s">
        <v>690</v>
      </c>
      <c r="D97" s="12" t="s">
        <v>45</v>
      </c>
      <c r="E97" s="12" t="s">
        <v>570</v>
      </c>
    </row>
    <row r="98" customFormat="false" ht="15" hidden="false" customHeight="false" outlineLevel="0" collapsed="false">
      <c r="A98" s="12" t="s">
        <v>688</v>
      </c>
      <c r="B98" s="12" t="s">
        <v>691</v>
      </c>
      <c r="C98" s="12" t="s">
        <v>690</v>
      </c>
      <c r="D98" s="12" t="s">
        <v>45</v>
      </c>
      <c r="E98" s="12" t="s">
        <v>570</v>
      </c>
    </row>
    <row r="99" customFormat="false" ht="15" hidden="false" customHeight="false" outlineLevel="0" collapsed="false">
      <c r="A99" s="12" t="s">
        <v>688</v>
      </c>
      <c r="B99" s="12" t="s">
        <v>692</v>
      </c>
      <c r="C99" s="12" t="s">
        <v>693</v>
      </c>
      <c r="D99" s="12" t="s">
        <v>45</v>
      </c>
      <c r="E99" s="12" t="s">
        <v>570</v>
      </c>
    </row>
    <row r="100" customFormat="false" ht="15" hidden="false" customHeight="false" outlineLevel="0" collapsed="false">
      <c r="A100" s="12" t="s">
        <v>688</v>
      </c>
      <c r="B100" s="12" t="s">
        <v>694</v>
      </c>
      <c r="C100" s="12" t="s">
        <v>693</v>
      </c>
      <c r="D100" s="12" t="s">
        <v>45</v>
      </c>
      <c r="E100" s="12" t="s">
        <v>570</v>
      </c>
    </row>
    <row r="101" customFormat="false" ht="15" hidden="false" customHeight="false" outlineLevel="0" collapsed="false">
      <c r="A101" s="12" t="s">
        <v>688</v>
      </c>
      <c r="B101" s="12" t="s">
        <v>695</v>
      </c>
      <c r="C101" s="12" t="s">
        <v>696</v>
      </c>
      <c r="D101" s="12" t="s">
        <v>45</v>
      </c>
      <c r="E101" s="12" t="s">
        <v>589</v>
      </c>
    </row>
    <row r="102" customFormat="false" ht="15" hidden="false" customHeight="false" outlineLevel="0" collapsed="false">
      <c r="A102" s="12" t="s">
        <v>688</v>
      </c>
      <c r="B102" s="12" t="s">
        <v>697</v>
      </c>
      <c r="C102" s="12" t="s">
        <v>698</v>
      </c>
      <c r="D102" s="12" t="s">
        <v>45</v>
      </c>
      <c r="E102" s="12" t="s">
        <v>570</v>
      </c>
    </row>
    <row r="104" customFormat="false" ht="15" hidden="false" customHeight="false" outlineLevel="0" collapsed="false">
      <c r="B104" s="5" t="s">
        <v>699</v>
      </c>
    </row>
    <row r="105" customFormat="false" ht="15" hidden="false" customHeight="false" outlineLevel="0" collapsed="false">
      <c r="B105" s="13" t="s">
        <v>526</v>
      </c>
      <c r="C105" s="57" t="n">
        <f aca="false">COUNTIF(E2:E102,"Gym")</f>
        <v>76</v>
      </c>
      <c r="D105" s="58" t="n">
        <f aca="false">C105/C109</f>
        <v>0.752475247524753</v>
      </c>
    </row>
    <row r="106" customFormat="false" ht="15" hidden="false" customHeight="false" outlineLevel="0" collapsed="false">
      <c r="B106" s="13" t="s">
        <v>608</v>
      </c>
      <c r="C106" s="57" t="n">
        <f aca="false">COUNTIF(E2:E102,"Gym – rotating")</f>
        <v>9</v>
      </c>
      <c r="D106" s="58" t="n">
        <f aca="false">C106/C109</f>
        <v>0.0891089108910891</v>
      </c>
    </row>
    <row r="107" customFormat="false" ht="15" hidden="false" customHeight="false" outlineLevel="0" collapsed="false">
      <c r="B107" s="13" t="s">
        <v>570</v>
      </c>
      <c r="C107" s="57" t="n">
        <f aca="false">COUNTIF(E2:E102,"Home kit")</f>
        <v>14</v>
      </c>
      <c r="D107" s="58" t="n">
        <f aca="false">C107/C109</f>
        <v>0.138613861386139</v>
      </c>
    </row>
    <row r="108" customFormat="false" ht="15" hidden="false" customHeight="false" outlineLevel="0" collapsed="false">
      <c r="B108" s="13" t="s">
        <v>589</v>
      </c>
      <c r="C108" s="57" t="n">
        <f aca="false">COUNTIF(E2:E102,"Coupled / motor control")</f>
        <v>2</v>
      </c>
      <c r="D108" s="58" t="n">
        <f aca="false">C108/C109</f>
        <v>0.0198019801980198</v>
      </c>
    </row>
    <row r="109" customFormat="false" ht="15" hidden="false" customHeight="false" outlineLevel="0" collapsed="false">
      <c r="B109" s="13" t="s">
        <v>422</v>
      </c>
      <c r="C109" s="57" t="n">
        <f aca="false">COUNTA(B2:B102)</f>
        <v>101</v>
      </c>
    </row>
  </sheetData>
  <conditionalFormatting sqref="E2:E102">
    <cfRule type="expression" priority="2" aboveAverage="0" equalAverage="0" bottom="0" percent="0" rank="0" text="" dxfId="5">
      <formula>$E2="Gym"</formula>
    </cfRule>
    <cfRule type="expression" priority="3" aboveAverage="0" equalAverage="0" bottom="0" percent="0" rank="0" text="" dxfId="6">
      <formula>$E2="Gym – rotating"</formula>
    </cfRule>
    <cfRule type="expression" priority="4" aboveAverage="0" equalAverage="0" bottom="0" percent="0" rank="0" text="" dxfId="7">
      <formula>$E2="Home kit"</formula>
    </cfRule>
    <cfRule type="expression" priority="5" aboveAverage="0" equalAverage="0" bottom="0" percent="0" rank="0" text="" dxfId="8">
      <formula>$E2="Coupled / motor control"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70"/>
  </cols>
  <sheetData>
    <row r="1" customFormat="false" ht="30" hidden="false" customHeight="true" outlineLevel="0" collapsed="false">
      <c r="A1" s="17" t="s">
        <v>700</v>
      </c>
      <c r="B1" s="17" t="s">
        <v>701</v>
      </c>
      <c r="C1" s="17" t="s">
        <v>702</v>
      </c>
      <c r="D1" s="17" t="s">
        <v>703</v>
      </c>
      <c r="E1" s="17" t="s">
        <v>704</v>
      </c>
    </row>
    <row r="2" customFormat="false" ht="15" hidden="false" customHeight="false" outlineLevel="0" collapsed="false">
      <c r="A2" s="12" t="s">
        <v>705</v>
      </c>
      <c r="B2" s="11" t="n">
        <v>10</v>
      </c>
      <c r="C2" s="20" t="s">
        <v>706</v>
      </c>
      <c r="D2" s="11" t="s">
        <v>47</v>
      </c>
      <c r="E2" s="12" t="s">
        <v>707</v>
      </c>
    </row>
    <row r="3" customFormat="false" ht="15" hidden="false" customHeight="false" outlineLevel="0" collapsed="false">
      <c r="A3" s="12" t="s">
        <v>567</v>
      </c>
      <c r="B3" s="11" t="n">
        <v>20</v>
      </c>
      <c r="C3" s="20" t="s">
        <v>706</v>
      </c>
      <c r="D3" s="11" t="s">
        <v>47</v>
      </c>
      <c r="E3" s="12" t="s">
        <v>708</v>
      </c>
    </row>
    <row r="4" customFormat="false" ht="15" hidden="false" customHeight="false" outlineLevel="0" collapsed="false">
      <c r="A4" s="12" t="s">
        <v>709</v>
      </c>
      <c r="B4" s="11" t="n">
        <v>12</v>
      </c>
      <c r="C4" s="20" t="s">
        <v>706</v>
      </c>
      <c r="D4" s="11" t="s">
        <v>47</v>
      </c>
      <c r="E4" s="12" t="s">
        <v>710</v>
      </c>
    </row>
    <row r="5" customFormat="false" ht="15" hidden="false" customHeight="false" outlineLevel="0" collapsed="false">
      <c r="A5" s="12" t="s">
        <v>711</v>
      </c>
      <c r="B5" s="11" t="n">
        <v>10</v>
      </c>
      <c r="C5" s="20" t="s">
        <v>706</v>
      </c>
      <c r="D5" s="11" t="s">
        <v>47</v>
      </c>
      <c r="E5" s="12" t="s">
        <v>712</v>
      </c>
    </row>
    <row r="6" customFormat="false" ht="35.05" hidden="false" customHeight="false" outlineLevel="0" collapsed="false">
      <c r="A6" s="12" t="s">
        <v>713</v>
      </c>
      <c r="B6" s="11" t="n">
        <v>20</v>
      </c>
      <c r="C6" s="20" t="s">
        <v>432</v>
      </c>
      <c r="D6" s="11" t="s">
        <v>714</v>
      </c>
      <c r="E6" s="12" t="s">
        <v>715</v>
      </c>
    </row>
    <row r="7" customFormat="false" ht="23.85" hidden="false" customHeight="false" outlineLevel="0" collapsed="false">
      <c r="A7" s="12" t="s">
        <v>716</v>
      </c>
      <c r="B7" s="11" t="n">
        <v>10</v>
      </c>
      <c r="C7" s="20" t="s">
        <v>432</v>
      </c>
      <c r="D7" s="11" t="s">
        <v>717</v>
      </c>
      <c r="E7" s="12" t="s">
        <v>718</v>
      </c>
    </row>
    <row r="8" customFormat="false" ht="23.85" hidden="false" customHeight="false" outlineLevel="0" collapsed="false">
      <c r="A8" s="12" t="s">
        <v>719</v>
      </c>
      <c r="B8" s="11" t="n">
        <v>25</v>
      </c>
      <c r="C8" s="20" t="s">
        <v>432</v>
      </c>
      <c r="D8" s="11" t="s">
        <v>717</v>
      </c>
      <c r="E8" s="12" t="s">
        <v>720</v>
      </c>
    </row>
    <row r="9" customFormat="false" ht="23.85" hidden="false" customHeight="false" outlineLevel="0" collapsed="false">
      <c r="A9" s="12" t="s">
        <v>721</v>
      </c>
      <c r="B9" s="11" t="n">
        <v>20</v>
      </c>
      <c r="C9" s="20" t="s">
        <v>432</v>
      </c>
      <c r="D9" s="11" t="s">
        <v>37</v>
      </c>
      <c r="E9" s="12" t="s">
        <v>722</v>
      </c>
    </row>
    <row r="10" customFormat="false" ht="15" hidden="false" customHeight="false" outlineLevel="0" collapsed="false">
      <c r="A10" s="13" t="s">
        <v>723</v>
      </c>
      <c r="B10" s="14" t="n">
        <f aca="false">SUMIFS(B2:B9,C2:C9,"N",D2:D9,"Yes*")</f>
        <v>20</v>
      </c>
    </row>
    <row r="11" customFormat="false" ht="15" hidden="false" customHeight="false" outlineLevel="0" collapsed="false">
      <c r="A11" s="13" t="s">
        <v>724</v>
      </c>
      <c r="B11" s="14" t="n">
        <f aca="false">SUMIFS(B2:B9,C2:C9,"N")</f>
        <v>75</v>
      </c>
    </row>
    <row r="13" customFormat="false" ht="15" hidden="false" customHeight="false" outlineLevel="0" collapsed="false">
      <c r="A13" s="2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2026-10-09T07:42:51Z</dcterms:created>
  <dc:creator>openpyxl</dc:creator>
  <dc:description/>
  <dc:language>en-US</dc:language>
  <cp:lastModifiedBy/>
  <dcterms:modified xsi:type="dcterms:W3CDTF">2026-10-09T07:42:52Z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